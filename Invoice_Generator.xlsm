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eno\Desktop\VBA\Project 3 - Invoice Generation Tool\InvoiceGenerator\"/>
    </mc:Choice>
  </mc:AlternateContent>
  <xr:revisionPtr revIDLastSave="0" documentId="13_ncr:1_{563C9BC5-5055-401F-8319-D47EF571AD11}" xr6:coauthVersionLast="47" xr6:coauthVersionMax="47" xr10:uidLastSave="{00000000-0000-0000-0000-000000000000}"/>
  <bookViews>
    <workbookView xWindow="28680" yWindow="-120" windowWidth="29040" windowHeight="15840" activeTab="1" xr2:uid="{00000000-000D-0000-FFFF-FFFF00000000}"/>
  </bookViews>
  <sheets>
    <sheet name="Instructions" sheetId="3" r:id="rId1"/>
    <sheet name="Dashboard" sheetId="5" r:id="rId2"/>
    <sheet name="Invoice" sheetId="1" r:id="rId3"/>
    <sheet name="Masterdata" sheetId="2" r:id="rId4"/>
    <sheet name="Template" sheetId="4" r:id="rId5"/>
    <sheet name="Calculation" sheetId="9" r:id="rId6"/>
    <sheet name="VBA Code Glossary" sheetId="10" r:id="rId7"/>
  </sheets>
  <definedNames>
    <definedName name="Date_Chart">Calculation!#REF!:INDEX(Calculation!$B$6:$B$29,COUNT(Calculation!$C$6:$C$29))</definedName>
    <definedName name="Excelfolder">Dashboard!$M$19</definedName>
    <definedName name="PDFfolder">Dashboard!$M$17</definedName>
    <definedName name="_xlnm.Print_Area" localSheetId="4">Template!$A$1:$E$35</definedName>
    <definedName name="TODAY">Dashboard!$C$1</definedName>
    <definedName name="Value_Chart">Calculation!#REF!:INDEX(Calculation!$C$6:$C$29,COUNT(Calculation!$C$6:$C$29))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4" i="4" l="1"/>
  <c r="E23" i="4"/>
  <c r="E22" i="4" l="1"/>
  <c r="C1" i="5"/>
  <c r="X46" i="1"/>
  <c r="X45" i="1"/>
  <c r="X44" i="1"/>
  <c r="X43" i="1"/>
  <c r="R56" i="1"/>
  <c r="T56" i="1" s="1"/>
  <c r="X56" i="1"/>
  <c r="R55" i="1"/>
  <c r="T55" i="1" s="1"/>
  <c r="X55" i="1"/>
  <c r="R54" i="1"/>
  <c r="T54" i="1" s="1"/>
  <c r="X54" i="1"/>
  <c r="R53" i="1"/>
  <c r="T53" i="1" s="1"/>
  <c r="X53" i="1"/>
  <c r="R52" i="1"/>
  <c r="AB52" i="1" s="1"/>
  <c r="X52" i="1"/>
  <c r="R51" i="1"/>
  <c r="AB51" i="1" s="1"/>
  <c r="X51" i="1"/>
  <c r="R50" i="1"/>
  <c r="AB50" i="1" s="1"/>
  <c r="X50" i="1"/>
  <c r="R49" i="1"/>
  <c r="T49" i="1" s="1"/>
  <c r="X49" i="1"/>
  <c r="R48" i="1"/>
  <c r="T48" i="1" s="1"/>
  <c r="X48" i="1"/>
  <c r="R47" i="1"/>
  <c r="T47" i="1" s="1"/>
  <c r="X47" i="1"/>
  <c r="AA56" i="1" l="1"/>
  <c r="U56" i="1" s="1"/>
  <c r="AB56" i="1"/>
  <c r="AA55" i="1"/>
  <c r="U55" i="1" s="1"/>
  <c r="AB55" i="1"/>
  <c r="T50" i="1"/>
  <c r="AA50" i="1" s="1"/>
  <c r="AB54" i="1"/>
  <c r="AA54" i="1"/>
  <c r="U54" i="1" s="1"/>
  <c r="T52" i="1"/>
  <c r="AA52" i="1" s="1"/>
  <c r="T51" i="1"/>
  <c r="AA51" i="1" s="1"/>
  <c r="U51" i="1" s="1"/>
  <c r="AA53" i="1"/>
  <c r="U53" i="1" s="1"/>
  <c r="AB53" i="1"/>
  <c r="AB48" i="1"/>
  <c r="AB47" i="1"/>
  <c r="AA49" i="1"/>
  <c r="U49" i="1" s="1"/>
  <c r="AB49" i="1"/>
  <c r="AA48" i="1"/>
  <c r="U48" i="1" s="1"/>
  <c r="AA47" i="1"/>
  <c r="U47" i="1" s="1"/>
  <c r="U52" i="1" l="1"/>
  <c r="U50" i="1"/>
  <c r="R46" i="1" l="1"/>
  <c r="T46" i="1" s="1"/>
  <c r="R45" i="1"/>
  <c r="T45" i="1" s="1"/>
  <c r="AA45" i="1" s="1"/>
  <c r="AB46" i="1" l="1"/>
  <c r="AA46" i="1"/>
  <c r="U46" i="1" s="1"/>
  <c r="AB45" i="1"/>
  <c r="U45" i="1"/>
  <c r="R57" i="1"/>
  <c r="T57" i="1" s="1"/>
  <c r="X57" i="1"/>
  <c r="AA57" i="1" l="1"/>
  <c r="U57" i="1" s="1"/>
  <c r="AB57" i="1"/>
  <c r="E3" i="9" l="1"/>
  <c r="C2" i="5"/>
  <c r="C6" i="9" l="1"/>
  <c r="C7" i="9"/>
  <c r="C29" i="9"/>
  <c r="C25" i="9"/>
  <c r="C24" i="9"/>
  <c r="C12" i="9"/>
  <c r="C28" i="9"/>
  <c r="C26" i="9"/>
  <c r="C22" i="9"/>
  <c r="C27" i="9"/>
  <c r="C23" i="9"/>
  <c r="M5" i="5"/>
  <c r="R29" i="1"/>
  <c r="AB29" i="1" s="1"/>
  <c r="R30" i="1"/>
  <c r="T30" i="1" s="1"/>
  <c r="R31" i="1"/>
  <c r="AB31" i="1" s="1"/>
  <c r="R32" i="1"/>
  <c r="T32" i="1" s="1"/>
  <c r="R33" i="1"/>
  <c r="T33" i="1" s="1"/>
  <c r="AA33" i="1" s="1"/>
  <c r="U33" i="1" s="1"/>
  <c r="R34" i="1"/>
  <c r="AB34" i="1" s="1"/>
  <c r="R35" i="1"/>
  <c r="T35" i="1" s="1"/>
  <c r="AA35" i="1" s="1"/>
  <c r="U35" i="1" s="1"/>
  <c r="R36" i="1"/>
  <c r="T36" i="1" s="1"/>
  <c r="R37" i="1"/>
  <c r="T37" i="1" s="1"/>
  <c r="AA37" i="1" s="1"/>
  <c r="U37" i="1" s="1"/>
  <c r="R38" i="1"/>
  <c r="AB38" i="1" s="1"/>
  <c r="R39" i="1"/>
  <c r="T39" i="1" s="1"/>
  <c r="AA39" i="1" s="1"/>
  <c r="R40" i="1"/>
  <c r="T40" i="1" s="1"/>
  <c r="R41" i="1"/>
  <c r="T41" i="1" s="1"/>
  <c r="AA41" i="1" s="1"/>
  <c r="U41" i="1" s="1"/>
  <c r="R42" i="1"/>
  <c r="T42" i="1" s="1"/>
  <c r="AA42" i="1" s="1"/>
  <c r="U42" i="1" s="1"/>
  <c r="R43" i="1"/>
  <c r="T43" i="1" s="1"/>
  <c r="AA43" i="1" s="1"/>
  <c r="R44" i="1"/>
  <c r="T44" i="1" s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C21" i="9" l="1"/>
  <c r="C20" i="9"/>
  <c r="C19" i="9"/>
  <c r="T38" i="1"/>
  <c r="AA38" i="1" s="1"/>
  <c r="U38" i="1" s="1"/>
  <c r="AB43" i="1"/>
  <c r="AB42" i="1"/>
  <c r="AB33" i="1"/>
  <c r="T31" i="1"/>
  <c r="AA31" i="1" s="1"/>
  <c r="U31" i="1" s="1"/>
  <c r="AB37" i="1"/>
  <c r="T29" i="1"/>
  <c r="AA29" i="1" s="1"/>
  <c r="U29" i="1" s="1"/>
  <c r="AB35" i="1"/>
  <c r="AB39" i="1"/>
  <c r="T34" i="1"/>
  <c r="AA34" i="1" s="1"/>
  <c r="U34" i="1" s="1"/>
  <c r="AA30" i="1"/>
  <c r="U30" i="1" s="1"/>
  <c r="AB41" i="1"/>
  <c r="AB30" i="1"/>
  <c r="U43" i="1"/>
  <c r="U39" i="1"/>
  <c r="AB44" i="1"/>
  <c r="AB40" i="1"/>
  <c r="AB36" i="1"/>
  <c r="AB32" i="1"/>
  <c r="AA44" i="1"/>
  <c r="U44" i="1" s="1"/>
  <c r="AA40" i="1"/>
  <c r="U40" i="1" s="1"/>
  <c r="AA36" i="1"/>
  <c r="U36" i="1" s="1"/>
  <c r="AA32" i="1"/>
  <c r="U32" i="1" s="1"/>
  <c r="I5" i="5" l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D26" i="4" l="1"/>
  <c r="D25" i="4"/>
  <c r="R28" i="1"/>
  <c r="AB28" i="1" s="1"/>
  <c r="R27" i="1"/>
  <c r="AB27" i="1" s="1"/>
  <c r="R26" i="1"/>
  <c r="AB26" i="1" s="1"/>
  <c r="T28" i="1" l="1"/>
  <c r="D27" i="4"/>
  <c r="T27" i="1"/>
  <c r="T26" i="1"/>
  <c r="AA26" i="1" l="1"/>
  <c r="U26" i="1" s="1"/>
  <c r="C16" i="9"/>
  <c r="AA27" i="1"/>
  <c r="U27" i="1" s="1"/>
  <c r="C17" i="9"/>
  <c r="E5" i="5"/>
  <c r="C18" i="9"/>
  <c r="AA28" i="1"/>
  <c r="U28" i="1" s="1"/>
  <c r="R9" i="1"/>
  <c r="T9" i="1" s="1"/>
  <c r="R10" i="1"/>
  <c r="T10" i="1" s="1"/>
  <c r="R11" i="1"/>
  <c r="T11" i="1" s="1"/>
  <c r="R12" i="1"/>
  <c r="T12" i="1" s="1"/>
  <c r="R13" i="1"/>
  <c r="T13" i="1" s="1"/>
  <c r="R14" i="1"/>
  <c r="T14" i="1" s="1"/>
  <c r="R15" i="1"/>
  <c r="T15" i="1" s="1"/>
  <c r="R16" i="1"/>
  <c r="T16" i="1" s="1"/>
  <c r="R17" i="1"/>
  <c r="T17" i="1" s="1"/>
  <c r="R18" i="1"/>
  <c r="T18" i="1" s="1"/>
  <c r="R19" i="1"/>
  <c r="T19" i="1" s="1"/>
  <c r="R20" i="1"/>
  <c r="T20" i="1" s="1"/>
  <c r="R21" i="1"/>
  <c r="T21" i="1" s="1"/>
  <c r="R22" i="1"/>
  <c r="T22" i="1" s="1"/>
  <c r="R23" i="1"/>
  <c r="T23" i="1" s="1"/>
  <c r="R24" i="1"/>
  <c r="T24" i="1" s="1"/>
  <c r="R25" i="1"/>
  <c r="T25" i="1" s="1"/>
  <c r="C13" i="9" l="1"/>
  <c r="C10" i="9"/>
  <c r="C15" i="9"/>
  <c r="C9" i="9"/>
  <c r="C11" i="9"/>
  <c r="C14" i="9"/>
  <c r="AB25" i="1"/>
  <c r="AB21" i="1"/>
  <c r="AA16" i="1"/>
  <c r="U16" i="1" s="1"/>
  <c r="AA11" i="1"/>
  <c r="U11" i="1" s="1"/>
  <c r="AA24" i="1"/>
  <c r="U24" i="1" s="1"/>
  <c r="AB24" i="1"/>
  <c r="AA10" i="1"/>
  <c r="U10" i="1" s="1"/>
  <c r="AA21" i="1"/>
  <c r="U21" i="1" s="1"/>
  <c r="AA19" i="1"/>
  <c r="U19" i="1" s="1"/>
  <c r="AA14" i="1"/>
  <c r="U14" i="1" s="1"/>
  <c r="AA18" i="1"/>
  <c r="U18" i="1" s="1"/>
  <c r="AA13" i="1"/>
  <c r="U13" i="1" s="1"/>
  <c r="AA17" i="1"/>
  <c r="U17" i="1" s="1"/>
  <c r="AA22" i="1"/>
  <c r="U22" i="1" s="1"/>
  <c r="AA23" i="1"/>
  <c r="U23" i="1" s="1"/>
  <c r="AA15" i="1"/>
  <c r="U15" i="1" s="1"/>
  <c r="AA20" i="1"/>
  <c r="U20" i="1" s="1"/>
  <c r="AA12" i="1"/>
  <c r="U12" i="1" s="1"/>
  <c r="AB23" i="1"/>
  <c r="AB20" i="1"/>
  <c r="AB19" i="1"/>
  <c r="AB22" i="1"/>
  <c r="AA25" i="1" l="1"/>
  <c r="U25" i="1" s="1"/>
  <c r="AB18" i="1"/>
  <c r="AB17" i="1"/>
  <c r="AB16" i="1"/>
  <c r="AB15" i="1" l="1"/>
  <c r="AB13" i="1"/>
  <c r="AB10" i="1" l="1"/>
  <c r="AB11" i="1"/>
  <c r="AB12" i="1"/>
  <c r="AB9" i="1" l="1"/>
  <c r="R8" i="1"/>
  <c r="AB8" i="1" l="1"/>
  <c r="T8" i="1"/>
  <c r="AA9" i="1"/>
  <c r="U9" i="1" s="1"/>
  <c r="C8" i="9" l="1"/>
  <c r="AA8" i="1"/>
  <c r="U8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C1" authorId="0" shapeId="0" xr:uid="{169CE469-1784-4B66-A7E4-6DBDDE7A3EDF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Today's date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Chuchu Xiong</author>
  </authors>
  <commentList>
    <comment ref="D7" authorId="0" shapeId="0" xr:uid="{276108B6-5ABD-4A01-8FAC-2D344A24EB62}">
      <text>
        <r>
          <rPr>
            <sz val="9"/>
            <color indexed="81"/>
            <rFont val="Tahoma"/>
            <family val="2"/>
          </rPr>
          <t>Invoice number</t>
        </r>
      </text>
    </comment>
    <comment ref="D8" authorId="0" shapeId="0" xr:uid="{CAC9BA88-0A44-4FFD-8B80-5D9460612F9E}">
      <text>
        <r>
          <rPr>
            <sz val="9"/>
            <color indexed="81"/>
            <rFont val="Tahoma"/>
            <family val="2"/>
          </rPr>
          <t>Invoice Date</t>
        </r>
      </text>
    </comment>
    <comment ref="B12" authorId="0" shapeId="0" xr:uid="{ED3BD422-D611-4526-A239-C1CCF832F1A7}">
      <text>
        <r>
          <rPr>
            <sz val="9"/>
            <color indexed="81"/>
            <rFont val="Tahoma"/>
            <family val="2"/>
          </rPr>
          <t>Company</t>
        </r>
      </text>
    </comment>
    <comment ref="B13" authorId="0" shapeId="0" xr:uid="{86F7F103-5C45-4B82-9761-10629F4C6803}">
      <text>
        <r>
          <rPr>
            <sz val="9"/>
            <color indexed="81"/>
            <rFont val="Tahoma"/>
            <family val="2"/>
          </rPr>
          <t>Customer</t>
        </r>
      </text>
    </comment>
    <comment ref="B15" authorId="0" shapeId="0" xr:uid="{C296A468-58E8-47BC-9152-6C31B5666308}">
      <text>
        <r>
          <rPr>
            <sz val="9"/>
            <color indexed="81"/>
            <rFont val="Tahoma"/>
            <family val="2"/>
          </rPr>
          <t>Address Line 1</t>
        </r>
      </text>
    </comment>
    <comment ref="B16" authorId="0" shapeId="0" xr:uid="{88DF21B2-CD06-4984-8EB6-AFAD301ACACA}">
      <text>
        <r>
          <rPr>
            <sz val="9"/>
            <color indexed="81"/>
            <rFont val="Tahoma"/>
            <family val="2"/>
          </rPr>
          <t>Address Line 2</t>
        </r>
      </text>
    </comment>
    <comment ref="B17" authorId="0" shapeId="0" xr:uid="{66BE276B-0145-4FFC-8E86-69624E51CA6F}">
      <text>
        <r>
          <rPr>
            <sz val="9"/>
            <color indexed="81"/>
            <rFont val="Tahoma"/>
            <family val="2"/>
          </rPr>
          <t>Address Line 3</t>
        </r>
      </text>
    </comment>
    <comment ref="B21" authorId="0" shapeId="0" xr:uid="{99803473-86B5-4D97-9156-2AD0326DE0F4}">
      <text>
        <r>
          <rPr>
            <sz val="9"/>
            <color indexed="81"/>
            <rFont val="Tahoma"/>
            <family val="2"/>
          </rPr>
          <t>Services Line 1</t>
        </r>
      </text>
    </comment>
    <comment ref="C21" authorId="0" shapeId="0" xr:uid="{992E11A1-4B13-4211-ADBA-2FE431E7820A}">
      <text>
        <r>
          <rPr>
            <sz val="9"/>
            <color indexed="81"/>
            <rFont val="Tahoma"/>
            <family val="2"/>
          </rPr>
          <t>Date Line 1</t>
        </r>
      </text>
    </comment>
    <comment ref="D21" authorId="0" shapeId="0" xr:uid="{E085EF79-0A03-483B-A86C-6D2389319519}">
      <text>
        <r>
          <rPr>
            <sz val="9"/>
            <color indexed="81"/>
            <rFont val="Tahoma"/>
            <family val="2"/>
          </rPr>
          <t>Amount Line 1</t>
        </r>
      </text>
    </comment>
    <comment ref="E21" authorId="0" shapeId="0" xr:uid="{AFB470C4-B774-4C30-8880-F10C90FE6E77}">
      <text>
        <r>
          <rPr>
            <sz val="9"/>
            <color indexed="81"/>
            <rFont val="Tahoma"/>
            <family val="2"/>
          </rPr>
          <t>VAT</t>
        </r>
      </text>
    </comment>
    <comment ref="B22" authorId="0" shapeId="0" xr:uid="{419D0E50-B0BE-4E0A-A2F0-E516D029E1C8}">
      <text>
        <r>
          <rPr>
            <sz val="9"/>
            <color indexed="81"/>
            <rFont val="Tahoma"/>
            <family val="2"/>
          </rPr>
          <t>Services Line 2</t>
        </r>
      </text>
    </comment>
    <comment ref="C22" authorId="0" shapeId="0" xr:uid="{C0A7BF93-400C-4FCB-960F-8E13BA95CE53}">
      <text>
        <r>
          <rPr>
            <sz val="9"/>
            <color indexed="81"/>
            <rFont val="Tahoma"/>
            <family val="2"/>
          </rPr>
          <t>Date Line 2</t>
        </r>
      </text>
    </comment>
    <comment ref="D22" authorId="0" shapeId="0" xr:uid="{98FE95ED-28C5-4FA6-B14A-3F5FB6DCD1D6}">
      <text>
        <r>
          <rPr>
            <sz val="9"/>
            <color indexed="81"/>
            <rFont val="Tahoma"/>
            <family val="2"/>
          </rPr>
          <t>Amount Line 2</t>
        </r>
      </text>
    </comment>
    <comment ref="B23" authorId="0" shapeId="0" xr:uid="{DCB4269A-EEED-4431-A782-749BCD184CA0}">
      <text>
        <r>
          <rPr>
            <sz val="9"/>
            <color indexed="81"/>
            <rFont val="Tahoma"/>
            <family val="2"/>
          </rPr>
          <t>Services Line 3</t>
        </r>
      </text>
    </comment>
    <comment ref="C23" authorId="0" shapeId="0" xr:uid="{B72B1398-F579-4220-8A19-D6851188A536}">
      <text>
        <r>
          <rPr>
            <sz val="9"/>
            <color indexed="81"/>
            <rFont val="Tahoma"/>
            <family val="2"/>
          </rPr>
          <t>Date Line 3</t>
        </r>
      </text>
    </comment>
    <comment ref="D23" authorId="0" shapeId="0" xr:uid="{6C6CB013-A8D9-49E2-BED0-DA40A8A3722A}">
      <text>
        <r>
          <rPr>
            <sz val="9"/>
            <color indexed="81"/>
            <rFont val="Tahoma"/>
            <family val="2"/>
          </rPr>
          <t>Amount Line 3</t>
        </r>
      </text>
    </comment>
  </commentList>
</comments>
</file>

<file path=xl/sharedStrings.xml><?xml version="1.0" encoding="utf-8"?>
<sst xmlns="http://schemas.openxmlformats.org/spreadsheetml/2006/main" count="900" uniqueCount="393">
  <si>
    <t>Customer</t>
  </si>
  <si>
    <t>Invoice number</t>
  </si>
  <si>
    <t>Company</t>
  </si>
  <si>
    <t>UID</t>
  </si>
  <si>
    <t>Additional Expenses</t>
  </si>
  <si>
    <t>Net Amount</t>
  </si>
  <si>
    <t>Address Line 1</t>
  </si>
  <si>
    <t>Address Line 2</t>
  </si>
  <si>
    <t>Address Line 3</t>
  </si>
  <si>
    <t>Date</t>
  </si>
  <si>
    <t>Blend</t>
  </si>
  <si>
    <t>Voltage</t>
  </si>
  <si>
    <t>Inkly</t>
  </si>
  <si>
    <t>Sleops</t>
  </si>
  <si>
    <t>Kind Ape</t>
  </si>
  <si>
    <t>Pet Feed</t>
  </si>
  <si>
    <t>Silvrr</t>
  </si>
  <si>
    <t>Kryptis</t>
  </si>
  <si>
    <t>Hackrr</t>
  </si>
  <si>
    <t>Pes</t>
  </si>
  <si>
    <t>deRamblr</t>
  </si>
  <si>
    <t>Arcade</t>
  </si>
  <si>
    <t>2120 Eagle Lane</t>
  </si>
  <si>
    <t>Underwood</t>
  </si>
  <si>
    <t>MN 56586</t>
  </si>
  <si>
    <t>2748 Haul Road</t>
  </si>
  <si>
    <t>Eagan</t>
  </si>
  <si>
    <t>MN 55121</t>
  </si>
  <si>
    <t>2529 Paradise Lane</t>
  </si>
  <si>
    <t>CA 91766</t>
  </si>
  <si>
    <t>Pomona</t>
  </si>
  <si>
    <t>1792 Parrish Avenue</t>
  </si>
  <si>
    <t>CA 95054</t>
  </si>
  <si>
    <t>Santa Clara</t>
  </si>
  <si>
    <t>123 Parrish Avenue</t>
  </si>
  <si>
    <t>67 Parrish Avenue</t>
  </si>
  <si>
    <t>523 Confederate Drive</t>
  </si>
  <si>
    <t>Amber</t>
  </si>
  <si>
    <t>NY 13110</t>
  </si>
  <si>
    <t>605 Old Dear Lane</t>
  </si>
  <si>
    <t>NY 10013</t>
  </si>
  <si>
    <t>New York</t>
  </si>
  <si>
    <t>CA 93901</t>
  </si>
  <si>
    <t>Salinas</t>
  </si>
  <si>
    <t>James Willard</t>
  </si>
  <si>
    <t>Richard Elliot</t>
  </si>
  <si>
    <t>Roger Mun</t>
  </si>
  <si>
    <t>Natalie Porter</t>
  </si>
  <si>
    <t>Kim West</t>
  </si>
  <si>
    <t>Stevie Bridge</t>
  </si>
  <si>
    <t>Andre Cooper</t>
  </si>
  <si>
    <t>Crystal Doyle</t>
  </si>
  <si>
    <t>Daniel Garrett</t>
  </si>
  <si>
    <t>Corinna Schmidt</t>
  </si>
  <si>
    <t>Betina Bauer</t>
  </si>
  <si>
    <t>Wiener Strasse 35</t>
  </si>
  <si>
    <t>1300 Vienna</t>
  </si>
  <si>
    <t>Austria</t>
  </si>
  <si>
    <t>Floridusgasse 18</t>
  </si>
  <si>
    <t>2500 Vienna</t>
  </si>
  <si>
    <t>Floridusgasse 16</t>
  </si>
  <si>
    <t>2600 Vienna</t>
  </si>
  <si>
    <t>Brigitte Bond</t>
  </si>
  <si>
    <t>Robert Blume</t>
  </si>
  <si>
    <t>Mike Saban</t>
  </si>
  <si>
    <t>Maria Tot</t>
  </si>
  <si>
    <t>Lukas Hofer</t>
  </si>
  <si>
    <t>Walter Miller</t>
  </si>
  <si>
    <t>Daniela Schreiber</t>
  </si>
  <si>
    <t>Ellmenreichstrasse 5936</t>
  </si>
  <si>
    <t>Germany</t>
  </si>
  <si>
    <t>6520 Ebermannstadt</t>
  </si>
  <si>
    <t>Peter Ramsy</t>
  </si>
  <si>
    <t>Scharnweberstrasse 870</t>
  </si>
  <si>
    <t>4899 Abtsteinach</t>
  </si>
  <si>
    <t>Scharnweberstrasse 80</t>
  </si>
  <si>
    <t>Wolfgang Ramjac</t>
  </si>
  <si>
    <t>Dan Ziegler</t>
  </si>
  <si>
    <t>4372 Salina Street</t>
  </si>
  <si>
    <t>Twistrr Productivity</t>
  </si>
  <si>
    <t>Twistrr Games</t>
  </si>
  <si>
    <t>Twistrr Utility</t>
  </si>
  <si>
    <t>Twistrr Kids</t>
  </si>
  <si>
    <t>Twistrr Clothes</t>
  </si>
  <si>
    <t>Baden Paper</t>
  </si>
  <si>
    <t>Right App Learning</t>
  </si>
  <si>
    <t>Right App Play</t>
  </si>
  <si>
    <t>WenCaL US</t>
  </si>
  <si>
    <t>WenCaL UK</t>
  </si>
  <si>
    <t>12 Guild Street</t>
  </si>
  <si>
    <t>E5 4XU London</t>
  </si>
  <si>
    <t>74 Sutton Wick Lane</t>
  </si>
  <si>
    <t>DE4 9RH London</t>
  </si>
  <si>
    <t>Ewan Thompson</t>
  </si>
  <si>
    <t>59 Copthorne Way</t>
  </si>
  <si>
    <t>CB5 2LZ CAMBRIDGE</t>
  </si>
  <si>
    <t>30 Copthorne Way</t>
  </si>
  <si>
    <t>CB5 0HP CAMBRIDGE</t>
  </si>
  <si>
    <t>VAT</t>
  </si>
  <si>
    <t>United Kingdom</t>
  </si>
  <si>
    <t>Switzerland</t>
  </si>
  <si>
    <t>Ganggasse 142</t>
  </si>
  <si>
    <t>Wolfensbergstrasse 109</t>
  </si>
  <si>
    <t>3656 Ringoldswil</t>
  </si>
  <si>
    <t>DE314550698</t>
  </si>
  <si>
    <t>DE675550698</t>
  </si>
  <si>
    <t>DE314845698</t>
  </si>
  <si>
    <t>DE358950698</t>
  </si>
  <si>
    <t>ATU56751255</t>
  </si>
  <si>
    <t>ATU56472745</t>
  </si>
  <si>
    <t>ATU56752794</t>
  </si>
  <si>
    <t>ATU87452774</t>
  </si>
  <si>
    <t>ATU53642748</t>
  </si>
  <si>
    <t>ATU56755475</t>
  </si>
  <si>
    <t>ATU56745712</t>
  </si>
  <si>
    <t>ATU56751288</t>
  </si>
  <si>
    <t>ATU56755879</t>
  </si>
  <si>
    <t>GB718186591</t>
  </si>
  <si>
    <t>GB919680834</t>
  </si>
  <si>
    <t>GB367365816</t>
  </si>
  <si>
    <t>GB697413887</t>
  </si>
  <si>
    <t>Robert Marquez</t>
  </si>
  <si>
    <t>Robert Spear</t>
  </si>
  <si>
    <t>Robert Richardson</t>
  </si>
  <si>
    <t>Paul Wells</t>
  </si>
  <si>
    <t>Paul Garza</t>
  </si>
  <si>
    <t>Payment terms</t>
  </si>
  <si>
    <t>Services</t>
  </si>
  <si>
    <t>Time Period</t>
  </si>
  <si>
    <t>Price in EUR</t>
  </si>
  <si>
    <t>Subtotal</t>
  </si>
  <si>
    <t>Total</t>
  </si>
  <si>
    <t>Bank Info</t>
  </si>
  <si>
    <t>IBAN: 2342456435</t>
  </si>
  <si>
    <t>BIC: GIBARESCXX</t>
  </si>
  <si>
    <t>VAT in %</t>
  </si>
  <si>
    <t>14 days net</t>
  </si>
  <si>
    <t>Services Line 1</t>
  </si>
  <si>
    <t>Services Line 2</t>
  </si>
  <si>
    <t>Services Line 3</t>
  </si>
  <si>
    <t>Final Invoiced Amount</t>
  </si>
  <si>
    <t>Invoice Date</t>
  </si>
  <si>
    <t>Agreed Amount Total</t>
  </si>
  <si>
    <t>Due by</t>
  </si>
  <si>
    <t>Paid</t>
  </si>
  <si>
    <t>Date Paid</t>
  </si>
  <si>
    <t>VAT to Pay</t>
  </si>
  <si>
    <t>Transfer Savings</t>
  </si>
  <si>
    <t>Status</t>
  </si>
  <si>
    <t>Date Line 1</t>
  </si>
  <si>
    <t>Amount Line 1</t>
  </si>
  <si>
    <t>Date Line 2</t>
  </si>
  <si>
    <t>Amount Line 2</t>
  </si>
  <si>
    <t>Date Line 3</t>
  </si>
  <si>
    <t>Amount Line 3</t>
  </si>
  <si>
    <t>Email</t>
  </si>
  <si>
    <t>Gary Miller</t>
  </si>
  <si>
    <t>Gary.Miller@WenCaL .com</t>
  </si>
  <si>
    <t>James.Willard@Blend.com</t>
  </si>
  <si>
    <t>Richard.Elliot@Voltage.com</t>
  </si>
  <si>
    <t>Robert.Spear@Inkly.com</t>
  </si>
  <si>
    <t>Roger.Mun@Sleops.com</t>
  </si>
  <si>
    <t>Paul.Garza@Kind .com</t>
  </si>
  <si>
    <t>Robert.Marquez@Pet .com</t>
  </si>
  <si>
    <t>Natalie.Porter@Right .com</t>
  </si>
  <si>
    <t>Kim.West@Right .com</t>
  </si>
  <si>
    <t>Stevie.Bridge@Hackrr.com</t>
  </si>
  <si>
    <t>Crystal.Doyle@Silvrr.com</t>
  </si>
  <si>
    <t>Daniel.Garrett@Rehire.at</t>
  </si>
  <si>
    <t>Corinna.Schmidt@Kryptis.at</t>
  </si>
  <si>
    <t>Ewan.Thompson@Perino .co.uk</t>
  </si>
  <si>
    <t>Walter.Miller@Twistrr .com</t>
  </si>
  <si>
    <t>Paul.Wells@Hackrr.com</t>
  </si>
  <si>
    <t>Betina.Bauer@Pes.at</t>
  </si>
  <si>
    <t>Daniela.Schreiber@Baden .de</t>
  </si>
  <si>
    <t>Dan.Ziegler@Baden .de</t>
  </si>
  <si>
    <t>Peter.Ramsy@deRamblr.de</t>
  </si>
  <si>
    <t>Wolfgang.Ramjac@Arcade.de</t>
  </si>
  <si>
    <t>Robert.Richardson@WenCaL .co.uk</t>
  </si>
  <si>
    <t>Brigitte.Bond@Twistrr .com</t>
  </si>
  <si>
    <t>Robert.Blume@Twistrr .com</t>
  </si>
  <si>
    <t>Mike.Saban@Twistrr .com</t>
  </si>
  <si>
    <t>Maria.Tot@Twistrr .com</t>
  </si>
  <si>
    <t>Lukas.Hofer@Kryptis.com</t>
  </si>
  <si>
    <t>twist</t>
  </si>
  <si>
    <t>Robert</t>
  </si>
  <si>
    <t>Robert Musser</t>
  </si>
  <si>
    <t>Dasring</t>
  </si>
  <si>
    <t>Hauptstrasse 14</t>
  </si>
  <si>
    <t>3587 Salzburg</t>
  </si>
  <si>
    <t>ATU56754789</t>
  </si>
  <si>
    <t>Rehire</t>
  </si>
  <si>
    <t>1250 Salzburg</t>
  </si>
  <si>
    <t>Ann Withers</t>
  </si>
  <si>
    <t>Didactic</t>
  </si>
  <si>
    <t>Strickstrasse 123</t>
  </si>
  <si>
    <t>8098 Zürich</t>
  </si>
  <si>
    <t>Paul Hill</t>
  </si>
  <si>
    <t>Fightrr</t>
  </si>
  <si>
    <t>Brunnacherstrasse 40</t>
  </si>
  <si>
    <t>8036 Zürich</t>
  </si>
  <si>
    <t>Perino</t>
  </si>
  <si>
    <t>Baden Packaging</t>
  </si>
  <si>
    <t>Net amount</t>
  </si>
  <si>
    <t>Outstanding</t>
  </si>
  <si>
    <t>Jobs done</t>
  </si>
  <si>
    <t>Dashboard Calculations</t>
  </si>
  <si>
    <t>For Overview Chart</t>
  </si>
  <si>
    <t>Invoice</t>
  </si>
  <si>
    <t/>
  </si>
  <si>
    <t>Add / Edit Customer in Master Data</t>
  </si>
  <si>
    <t>20/21.01.2016</t>
  </si>
  <si>
    <t>26/27.01.2016</t>
  </si>
  <si>
    <t>26.02.2016</t>
  </si>
  <si>
    <t>12.01.2016 - 13.03.2016</t>
  </si>
  <si>
    <t>6.02.2016-18.03.2016</t>
  </si>
  <si>
    <t>25/26.03.2016</t>
  </si>
  <si>
    <t>17/18.03.2016</t>
  </si>
  <si>
    <t>23.02.2016</t>
  </si>
  <si>
    <t>15/16.04.2016</t>
  </si>
  <si>
    <t>27/28.04.2016</t>
  </si>
  <si>
    <t>27/28/29.05.2016</t>
  </si>
  <si>
    <t>06/05/2016 + 15/06/2016</t>
  </si>
  <si>
    <t>27.07. - 07.08.2016</t>
  </si>
  <si>
    <t>23/09/2016-25/09/2016</t>
  </si>
  <si>
    <t>20/10/2016 &amp; 22/10/2016</t>
  </si>
  <si>
    <t>12/13.11. &amp; 19/20.11. 2016</t>
  </si>
  <si>
    <t>Service 1</t>
  </si>
  <si>
    <t>Service 2</t>
  </si>
  <si>
    <t>Service 8</t>
  </si>
  <si>
    <t>Service 3</t>
  </si>
  <si>
    <t>Service 4</t>
  </si>
  <si>
    <t>Service 5</t>
  </si>
  <si>
    <t>Service 6</t>
  </si>
  <si>
    <t>Service 7</t>
  </si>
  <si>
    <t>Service 9</t>
  </si>
  <si>
    <t>Service 10</t>
  </si>
  <si>
    <t>Service 11</t>
  </si>
  <si>
    <t>Service 12</t>
  </si>
  <si>
    <t>Service 13</t>
  </si>
  <si>
    <t>Service 14</t>
  </si>
  <si>
    <t>Service 15</t>
  </si>
  <si>
    <t>Service 16</t>
  </si>
  <si>
    <t>Service 17</t>
  </si>
  <si>
    <t>Service 18</t>
  </si>
  <si>
    <t>Service 19</t>
  </si>
  <si>
    <t>Service 20</t>
  </si>
  <si>
    <t>IT Services</t>
  </si>
  <si>
    <t>Programming new tool</t>
  </si>
  <si>
    <t>Consulting</t>
  </si>
  <si>
    <t>Training</t>
  </si>
  <si>
    <t>Andre.Cooper@Perino.co.uk</t>
  </si>
  <si>
    <t>Inspiration:</t>
  </si>
  <si>
    <t>Current date:</t>
  </si>
  <si>
    <t>Purpose of the Invoice Generator Tool</t>
  </si>
  <si>
    <t xml:space="preserve">in one place. </t>
  </si>
  <si>
    <t>This tool makes creating invoices a pleasant admin task. It no longer takes 20-30 minutes per invoice but instead</t>
  </si>
  <si>
    <t>just a few clicks that takes 2-3 minutes.</t>
  </si>
  <si>
    <t>open invoices and money made.</t>
  </si>
  <si>
    <t>Here are the Steps</t>
  </si>
  <si>
    <t>1. Update Master Data</t>
  </si>
  <si>
    <t xml:space="preserve">Input your original customer master data in the master data tab. </t>
  </si>
  <si>
    <t>2. Update the Template</t>
  </si>
  <si>
    <t>If you'd like to change other parts of the template, double-check the VBA code to ensure you have updated these</t>
  </si>
  <si>
    <t>accordingly.</t>
  </si>
  <si>
    <t>Note: I have fixed the date in cell C1 of the Dashboard tab. Change this to =today() to get it dynamic.</t>
  </si>
  <si>
    <t>3. Update the Folder paths</t>
  </si>
  <si>
    <t>Make sure you create two folders to keep the PDF versions as well as Excel Versions for each invoice created.</t>
  </si>
  <si>
    <t>4. Adding Invoice Information</t>
  </si>
  <si>
    <t xml:space="preserve">As projects come in, add the information to the invoice tab. Start typing the name of the customer in column B </t>
  </si>
  <si>
    <t>You'll get a list of invoices that have a blank status.</t>
  </si>
  <si>
    <t>5. Calculations for Dashboard</t>
  </si>
  <si>
    <t xml:space="preserve">The "Calculations" tab contains the data preparation table for the chart on the "Dashboard" tab. The technique used </t>
  </si>
  <si>
    <t>here is included in my online Excel Dashboards course.</t>
  </si>
  <si>
    <t>The aim of this tool is to automate the invoice generation procedure and keep an overview of the status of all invoices</t>
  </si>
  <si>
    <t>Having the information for all the invoices in one place, allows you to keep an eye on jobs completed,</t>
  </si>
  <si>
    <r>
      <t xml:space="preserve">Add new customer from the Dashboard tab, by clicking on </t>
    </r>
    <r>
      <rPr>
        <i/>
        <sz val="11"/>
        <color theme="1"/>
        <rFont val="Arial"/>
        <family val="2"/>
        <scheme val="minor"/>
      </rPr>
      <t>Add</t>
    </r>
    <r>
      <rPr>
        <sz val="11"/>
        <color theme="1"/>
        <rFont val="Arial"/>
        <family val="2"/>
        <scheme val="minor"/>
      </rPr>
      <t xml:space="preserve"> </t>
    </r>
    <r>
      <rPr>
        <i/>
        <sz val="11"/>
        <color theme="1"/>
        <rFont val="Arial"/>
        <family val="2"/>
        <scheme val="minor"/>
      </rPr>
      <t>Customer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</si>
  <si>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Edit customer information by clicking on </t>
    </r>
    <r>
      <rPr>
        <i/>
        <sz val="11"/>
        <color theme="1"/>
        <rFont val="Arial"/>
        <family val="2"/>
        <scheme val="minor"/>
      </rPr>
      <t>Edit Master Data</t>
    </r>
    <r>
      <rPr>
        <sz val="11"/>
        <color theme="1"/>
        <rFont val="Arial"/>
        <family val="2"/>
        <scheme val="minor"/>
      </rPr>
      <t xml:space="preserve"> button.</t>
    </r>
  </si>
  <si>
    <t>Update the look of the template by adding your logo.</t>
  </si>
  <si>
    <r>
      <t>The folders should be created in the directory as wherever this tool is saved. VBA uses</t>
    </r>
    <r>
      <rPr>
        <i/>
        <sz val="11"/>
        <color theme="1"/>
        <rFont val="Arial"/>
        <family val="2"/>
        <scheme val="minor"/>
      </rPr>
      <t xml:space="preserve"> thisworkbook.path</t>
    </r>
    <r>
      <rPr>
        <sz val="11"/>
        <color theme="1"/>
        <rFont val="Arial"/>
        <family val="2"/>
        <scheme val="minor"/>
      </rPr>
      <t xml:space="preserve"> to find </t>
    </r>
  </si>
  <si>
    <t>the directory and then looks for the folders you have specified on the dashboard page inside this directory.</t>
  </si>
  <si>
    <r>
      <t xml:space="preserve">then press </t>
    </r>
    <r>
      <rPr>
        <i/>
        <sz val="11"/>
        <color theme="1"/>
        <rFont val="Arial"/>
        <family val="2"/>
        <scheme val="minor"/>
      </rPr>
      <t>Enter</t>
    </r>
    <r>
      <rPr>
        <sz val="11"/>
        <color theme="1"/>
        <rFont val="Arial"/>
        <family val="2"/>
        <scheme val="minor"/>
      </rPr>
      <t xml:space="preserve"> and select the correct customer from the list. Type in the remaining information.</t>
    </r>
  </si>
  <si>
    <r>
      <t xml:space="preserve">Once your job is complete, click on the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 xml:space="preserve"> button.</t>
    </r>
  </si>
  <si>
    <r>
      <t xml:space="preserve">Select the invoice you'd like to create and click on </t>
    </r>
    <r>
      <rPr>
        <i/>
        <sz val="11"/>
        <color theme="1"/>
        <rFont val="Arial"/>
        <family val="2"/>
        <scheme val="minor"/>
      </rPr>
      <t>Create Invoice</t>
    </r>
    <r>
      <rPr>
        <sz val="11"/>
        <color theme="1"/>
        <rFont val="Arial"/>
        <family val="2"/>
        <scheme val="minor"/>
      </rPr>
      <t>.</t>
    </r>
  </si>
  <si>
    <t>If you'd like to create the email with the customer's email address and PDF attached, then click on Create email.</t>
  </si>
  <si>
    <r>
      <t xml:space="preserve">Note: </t>
    </r>
    <r>
      <rPr>
        <i/>
        <sz val="11"/>
        <color theme="1"/>
        <rFont val="Arial"/>
        <family val="2"/>
        <scheme val="minor"/>
      </rPr>
      <t>Create email</t>
    </r>
    <r>
      <rPr>
        <sz val="11"/>
        <color theme="1"/>
        <rFont val="Arial"/>
        <family val="2"/>
        <scheme val="minor"/>
      </rPr>
      <t>, does not send the email, it creates a draft email which you can customize further if you'd like</t>
    </r>
  </si>
  <si>
    <r>
      <t xml:space="preserve">prior to sending </t>
    </r>
    <r>
      <rPr>
        <sz val="11"/>
        <color theme="4"/>
        <rFont val="Arial"/>
        <family val="2"/>
        <scheme val="minor"/>
      </rPr>
      <t xml:space="preserve">(This works if you have Outlook and you've added a tick mark to reference the Outlook library in your </t>
    </r>
  </si>
  <si>
    <t>VBA project as show in the tutorials)</t>
  </si>
  <si>
    <t xml:space="preserve">Note: This Invoice Generator Tool is a part of my Excel VBA course on Udemy.com. </t>
  </si>
  <si>
    <t>Find out more on www.xelplus.com\courses</t>
  </si>
  <si>
    <t>Rmusse@Dasring.com</t>
  </si>
  <si>
    <t>Garrett@Rehire.com</t>
  </si>
  <si>
    <t>Phill@Fightrr.com</t>
  </si>
  <si>
    <t>Bank Name</t>
  </si>
  <si>
    <t>• Edit customer data if info has changed</t>
  </si>
  <si>
    <t>• Add new customer data to master data</t>
  </si>
  <si>
    <t>Maxine Xiong</t>
  </si>
  <si>
    <t>Unit 837, 6 Etherden Walk</t>
  </si>
  <si>
    <t>Mascot 2020</t>
  </si>
  <si>
    <t>ABN: 58618450120</t>
  </si>
  <si>
    <t>Create two folders in the current directory to store PDF and Excel version of invoices</t>
  </si>
  <si>
    <t>PDF folder</t>
  </si>
  <si>
    <t>Excel folder</t>
  </si>
  <si>
    <t>Save Invoices in Folders</t>
  </si>
  <si>
    <t>PDF Invoices</t>
  </si>
  <si>
    <t>Excel Invoices</t>
  </si>
  <si>
    <t>Created</t>
  </si>
  <si>
    <t>View / Update Invoice Information</t>
  </si>
  <si>
    <t>• View the full list of invoices</t>
  </si>
  <si>
    <t>• Update invoices information such as payment date</t>
  </si>
  <si>
    <t>• Generate invoices</t>
  </si>
  <si>
    <t>Programming</t>
  </si>
  <si>
    <t>Controls</t>
  </si>
  <si>
    <t>Control Type</t>
  </si>
  <si>
    <t>Related Userform / Module</t>
  </si>
  <si>
    <t>Component Type</t>
  </si>
  <si>
    <t>Related Events / Sub Procedure</t>
  </si>
  <si>
    <t>Event Type</t>
  </si>
  <si>
    <t>Description</t>
  </si>
  <si>
    <t>Add Customer</t>
  </si>
  <si>
    <t>Button</t>
  </si>
  <si>
    <t>Dashboard sheet</t>
  </si>
  <si>
    <t>FormInputMaster</t>
  </si>
  <si>
    <t>Userform</t>
  </si>
  <si>
    <t>btCancel_Click()</t>
  </si>
  <si>
    <t>Userform Event</t>
  </si>
  <si>
    <t>btADD_Click()</t>
  </si>
  <si>
    <t>MainInvoiceGenerator</t>
  </si>
  <si>
    <t>Module</t>
  </si>
  <si>
    <t>add_data_to_master()</t>
  </si>
  <si>
    <t>Module Sub Procedure</t>
  </si>
  <si>
    <t>Edit Master Data</t>
  </si>
  <si>
    <t>FormViewMaster</t>
  </si>
  <si>
    <t>btDelete_Click()</t>
  </si>
  <si>
    <t>btEdit_Click()</t>
  </si>
  <si>
    <t>edit_view_master_data()</t>
  </si>
  <si>
    <t>Search Box</t>
  </si>
  <si>
    <t>Orange Cell</t>
  </si>
  <si>
    <t>Invoice sheet</t>
  </si>
  <si>
    <t>tbCustomer_Change()</t>
  </si>
  <si>
    <t>tbCompany_Change()</t>
  </si>
  <si>
    <t>btSelect_Click()</t>
  </si>
  <si>
    <t>shInvoice</t>
  </si>
  <si>
    <t>Worksheet</t>
  </si>
  <si>
    <t>Worksheet_Change()</t>
  </si>
  <si>
    <t>Worksheet Event</t>
  </si>
  <si>
    <t>Create Invoice</t>
  </si>
  <si>
    <t>FormOpenInvoice</t>
  </si>
  <si>
    <t>Userform_Initialize()</t>
  </si>
  <si>
    <t>btCreateInvoice_Click()</t>
  </si>
  <si>
    <t>btNotNow_Click()</t>
  </si>
  <si>
    <t>btCreateEmail_Click()</t>
  </si>
  <si>
    <t>create_invoice()</t>
  </si>
  <si>
    <t>View Invoices</t>
  </si>
  <si>
    <t>view_invoices()</t>
  </si>
  <si>
    <t>Back to Dashboard</t>
  </si>
  <si>
    <t>Arrow Shape</t>
  </si>
  <si>
    <t>return_dashboard()</t>
  </si>
  <si>
    <t>Collapse Fields</t>
  </si>
  <si>
    <t>Check Box</t>
  </si>
  <si>
    <t>axCollapse_Click()</t>
  </si>
  <si>
    <t>ActiveX Control Event</t>
  </si>
  <si>
    <t>Hide Paid Invoices</t>
  </si>
  <si>
    <t>axHide_Click()</t>
  </si>
  <si>
    <t>Control Location</t>
  </si>
  <si>
    <t>Navigate back to Dashboard</t>
  </si>
  <si>
    <t>Navigate to the "Invoice" sheet to see the list of invoices</t>
  </si>
  <si>
    <t>Hide/unhide columns that show low-level details</t>
  </si>
  <si>
    <t>FormSearch</t>
  </si>
  <si>
    <t>Insert the selected customer into the Invoice table</t>
  </si>
  <si>
    <t>Open the form FormOpenInvoice</t>
  </si>
  <si>
    <t>Open the form FormInputMaster</t>
  </si>
  <si>
    <t>Open the form FormViewMaster</t>
  </si>
  <si>
    <t>Trigger FormSearch to appear if a value is entered into the designated orange cell</t>
  </si>
  <si>
    <t>Hide/unhide the rows where invoices are already paid</t>
  </si>
  <si>
    <t>btClear_Click()</t>
  </si>
  <si>
    <t>Clear all input fields</t>
  </si>
  <si>
    <t>Add a new record to or update an existing one in Customer Master Data</t>
  </si>
  <si>
    <t>Edit specific customer's information in the FormInputMaster</t>
  </si>
  <si>
    <t>Sent</t>
  </si>
  <si>
    <t>Income Received</t>
  </si>
  <si>
    <t>Monthly Income Received</t>
  </si>
  <si>
    <t>Delete specific customer's information from the Master Data</t>
  </si>
  <si>
    <t>List search results if matched customer name is found</t>
  </si>
  <si>
    <t>List search results if matched company name is found</t>
  </si>
  <si>
    <t>Clear search entries</t>
  </si>
  <si>
    <t>Type a customer's name and press Enter to search for the relevant customer data</t>
  </si>
  <si>
    <t>Design</t>
  </si>
  <si>
    <t>On-site Inspection</t>
  </si>
  <si>
    <t>Populate the list box in FormOpenInvoice with a list of open invoices before displaying the form</t>
  </si>
  <si>
    <t>Exit and Close the form</t>
  </si>
  <si>
    <t>Create invoices in both PDF and Excel format</t>
  </si>
  <si>
    <t>Create an email to customer with PDF invoice attached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</si>
</sst>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4" formatCode="_-&quot;$&quot;* #,##0.00_-;\-&quot;$&quot;* #,##0.00_-;_-&quot;$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%;\-0%;"/>
    <numFmt numFmtId="167" formatCode="dd/mm/yyyy"/>
    <numFmt numFmtId="168" formatCode="mmm\ yy"/>
  </numFmts>
  <fonts count="26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</font>
    <font>
      <b/>
      <sz val="11"/>
      <color theme="1" tint="0.249977111117893"/>
      <name val="Arial"/>
      <family val="2"/>
    </font>
    <font>
      <sz val="11"/>
      <color theme="1" tint="0.34998626667073579"/>
      <name val="Arial"/>
      <family val="2"/>
      <scheme val="minor"/>
    </font>
    <font>
      <b/>
      <sz val="16"/>
      <color theme="1" tint="0.249977111117893"/>
      <name val="Arial"/>
      <family val="2"/>
      <scheme val="minor"/>
    </font>
    <font>
      <b/>
      <sz val="11"/>
      <color theme="0" tint="-0.499984740745262"/>
      <name val="Arial"/>
      <family val="2"/>
      <scheme val="minor"/>
    </font>
    <font>
      <sz val="10"/>
      <color theme="1"/>
      <name val="Arial"/>
      <family val="2"/>
      <scheme val="minor"/>
    </font>
    <font>
      <b/>
      <sz val="11"/>
      <color theme="1" tint="0.14999847407452621"/>
      <name val="Arial"/>
      <family val="2"/>
      <scheme val="minor"/>
    </font>
    <font>
      <b/>
      <sz val="14"/>
      <color theme="0" tint="-0.499984740745262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sz val="11"/>
      <color theme="0" tint="-0.14999847407452621"/>
      <name val="Arial"/>
      <family val="2"/>
      <scheme val="minor"/>
    </font>
    <font>
      <b/>
      <sz val="14"/>
      <color theme="1"/>
      <name val="Arial"/>
      <family val="2"/>
      <scheme val="minor"/>
    </font>
    <font>
      <i/>
      <sz val="11"/>
      <color theme="1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rgb="FF000000"/>
      <name val="Arial"/>
      <family val="2"/>
    </font>
    <font>
      <sz val="11"/>
      <color rgb="FF9C5700"/>
      <name val="Arial"/>
      <family val="2"/>
      <scheme val="minor"/>
    </font>
    <font>
      <sz val="10"/>
      <color rgb="FF000000"/>
      <name val="Arial"/>
      <family val="2"/>
    </font>
    <font>
      <b/>
      <sz val="14"/>
      <color theme="1" tint="0.34998626667073579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1F7ED"/>
        <bgColor indexed="64"/>
      </patternFill>
    </fill>
    <fill>
      <patternFill patternType="solid">
        <fgColor rgb="FFFFFBE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B9C"/>
      </patternFill>
    </fill>
  </fills>
  <borders count="11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theme="1" tint="0.499984740745262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theme="0" tint="-0.24994659260841701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1" applyNumberFormat="0" applyFill="0" applyAlignment="0" applyProtection="0"/>
    <xf numFmtId="0" fontId="21" fillId="11" borderId="0" applyNumberFormat="0" applyBorder="0" applyAlignment="0" applyProtection="0"/>
  </cellStyleXfs>
  <cellXfs count="88">
    <xf numFmtId="0" fontId="0" fillId="0" borderId="0" xfId="0"/>
    <xf numFmtId="0" fontId="0" fillId="0" borderId="0" xfId="0" applyAlignment="1">
      <alignment horizontal="right"/>
    </xf>
    <xf numFmtId="0" fontId="5" fillId="0" borderId="0" xfId="0" applyFont="1" applyAlignment="1">
      <alignment horizontal="right"/>
    </xf>
    <xf numFmtId="0" fontId="3" fillId="2" borderId="0" xfId="0" applyFont="1" applyFill="1"/>
    <xf numFmtId="165" fontId="0" fillId="0" borderId="0" xfId="0" applyNumberFormat="1"/>
    <xf numFmtId="0" fontId="0" fillId="0" borderId="0" xfId="0" applyAlignment="1">
      <alignment vertical="center"/>
    </xf>
    <xf numFmtId="4" fontId="6" fillId="5" borderId="0" xfId="0" applyNumberFormat="1" applyFont="1" applyFill="1" applyAlignment="1">
      <alignment wrapText="1"/>
    </xf>
    <xf numFmtId="0" fontId="0" fillId="7" borderId="0" xfId="0" applyFill="1"/>
    <xf numFmtId="0" fontId="0" fillId="7" borderId="3" xfId="0" applyFill="1" applyBorder="1"/>
    <xf numFmtId="37" fontId="9" fillId="7" borderId="0" xfId="0" applyNumberFormat="1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8" fillId="7" borderId="0" xfId="0" applyFont="1" applyFill="1"/>
    <xf numFmtId="0" fontId="0" fillId="8" borderId="0" xfId="0" applyFill="1"/>
    <xf numFmtId="0" fontId="11" fillId="8" borderId="0" xfId="0" applyFont="1" applyFill="1" applyAlignment="1">
      <alignment horizontal="left" indent="1"/>
    </xf>
    <xf numFmtId="0" fontId="0" fillId="0" borderId="4" xfId="0" applyBorder="1"/>
    <xf numFmtId="14" fontId="0" fillId="0" borderId="0" xfId="0" applyNumberFormat="1"/>
    <xf numFmtId="0" fontId="0" fillId="0" borderId="0" xfId="0" applyAlignment="1">
      <alignment horizontal="center"/>
    </xf>
    <xf numFmtId="3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0" fontId="0" fillId="0" borderId="5" xfId="0" applyBorder="1" applyAlignment="1">
      <alignment horizontal="left" vertical="center" wrapText="1"/>
    </xf>
    <xf numFmtId="0" fontId="0" fillId="0" borderId="5" xfId="0" applyBorder="1" applyAlignment="1">
      <alignment horizontal="center" vertical="center" wrapText="1"/>
    </xf>
    <xf numFmtId="165" fontId="0" fillId="0" borderId="5" xfId="1" applyNumberFormat="1" applyFont="1" applyBorder="1" applyAlignment="1">
      <alignment horizontal="center" vertical="center"/>
    </xf>
    <xf numFmtId="0" fontId="4" fillId="3" borderId="5" xfId="3" applyFont="1" applyFill="1" applyBorder="1" applyAlignment="1">
      <alignment horizontal="center" vertical="center" wrapText="1"/>
    </xf>
    <xf numFmtId="0" fontId="12" fillId="8" borderId="0" xfId="0" applyFont="1" applyFill="1" applyAlignment="1">
      <alignment horizontal="left" indent="1"/>
    </xf>
    <xf numFmtId="14" fontId="0" fillId="0" borderId="5" xfId="0" applyNumberFormat="1" applyBorder="1" applyAlignment="1">
      <alignment horizontal="center" vertical="center" wrapText="1"/>
    </xf>
    <xf numFmtId="0" fontId="6" fillId="0" borderId="0" xfId="0" applyFont="1" applyAlignment="1" applyProtection="1">
      <alignment wrapText="1"/>
      <protection locked="0"/>
    </xf>
    <xf numFmtId="14" fontId="6" fillId="0" borderId="0" xfId="0" applyNumberFormat="1" applyFont="1" applyAlignment="1" applyProtection="1">
      <alignment horizontal="left" wrapText="1"/>
      <protection locked="0"/>
    </xf>
    <xf numFmtId="4" fontId="6" fillId="0" borderId="0" xfId="0" applyNumberFormat="1" applyFont="1" applyAlignment="1" applyProtection="1">
      <alignment wrapText="1"/>
      <protection locked="0"/>
    </xf>
    <xf numFmtId="0" fontId="6" fillId="4" borderId="0" xfId="0" applyFont="1" applyFill="1" applyProtection="1">
      <protection locked="0"/>
    </xf>
    <xf numFmtId="4" fontId="6" fillId="4" borderId="0" xfId="0" applyNumberFormat="1" applyFont="1" applyFill="1" applyProtection="1">
      <protection locked="0"/>
    </xf>
    <xf numFmtId="4" fontId="6" fillId="4" borderId="0" xfId="0" applyNumberFormat="1" applyFont="1" applyFill="1" applyAlignment="1" applyProtection="1">
      <alignment wrapText="1"/>
      <protection locked="0"/>
    </xf>
    <xf numFmtId="0" fontId="6" fillId="0" borderId="0" xfId="0" applyFont="1" applyProtection="1">
      <protection locked="0"/>
    </xf>
    <xf numFmtId="4" fontId="6" fillId="0" borderId="0" xfId="0" applyNumberFormat="1" applyFont="1" applyProtection="1">
      <protection locked="0"/>
    </xf>
    <xf numFmtId="0" fontId="7" fillId="0" borderId="0" xfId="0" applyFont="1" applyProtection="1">
      <protection locked="0"/>
    </xf>
    <xf numFmtId="0" fontId="7" fillId="0" borderId="2" xfId="0" applyFont="1" applyBorder="1" applyAlignment="1" applyProtection="1">
      <alignment wrapText="1"/>
      <protection locked="0"/>
    </xf>
    <xf numFmtId="0" fontId="7" fillId="0" borderId="2" xfId="0" applyFont="1" applyBorder="1" applyProtection="1">
      <protection locked="0"/>
    </xf>
    <xf numFmtId="9" fontId="7" fillId="0" borderId="2" xfId="2" applyFont="1" applyFill="1" applyBorder="1" applyAlignment="1" applyProtection="1">
      <alignment wrapText="1"/>
      <protection locked="0"/>
    </xf>
    <xf numFmtId="4" fontId="7" fillId="0" borderId="2" xfId="0" applyNumberFormat="1" applyFont="1" applyBorder="1" applyAlignment="1" applyProtection="1">
      <alignment wrapText="1"/>
      <protection locked="0"/>
    </xf>
    <xf numFmtId="0" fontId="6" fillId="5" borderId="0" xfId="0" applyFont="1" applyFill="1" applyProtection="1">
      <protection locked="0"/>
    </xf>
    <xf numFmtId="4" fontId="6" fillId="5" borderId="0" xfId="0" applyNumberFormat="1" applyFont="1" applyFill="1" applyAlignment="1" applyProtection="1">
      <alignment wrapText="1"/>
      <protection locked="0"/>
    </xf>
    <xf numFmtId="3" fontId="6" fillId="0" borderId="0" xfId="0" applyNumberFormat="1" applyFont="1" applyAlignment="1" applyProtection="1">
      <alignment wrapText="1"/>
      <protection locked="0"/>
    </xf>
    <xf numFmtId="14" fontId="6" fillId="6" borderId="0" xfId="0" applyNumberFormat="1" applyFont="1" applyFill="1" applyAlignment="1" applyProtection="1">
      <alignment wrapText="1"/>
      <protection locked="0"/>
    </xf>
    <xf numFmtId="14" fontId="6" fillId="0" borderId="0" xfId="0" applyNumberFormat="1" applyFont="1" applyAlignment="1" applyProtection="1">
      <alignment wrapText="1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5" borderId="0" xfId="0" applyFill="1" applyProtection="1">
      <protection locked="0"/>
    </xf>
    <xf numFmtId="0" fontId="6" fillId="5" borderId="0" xfId="0" applyFont="1" applyFill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9" fontId="6" fillId="0" borderId="0" xfId="2" applyFont="1" applyAlignment="1" applyProtection="1">
      <alignment wrapText="1"/>
      <protection locked="0"/>
    </xf>
    <xf numFmtId="9" fontId="6" fillId="0" borderId="0" xfId="2" applyFont="1" applyProtection="1">
      <protection locked="0"/>
    </xf>
    <xf numFmtId="14" fontId="16" fillId="7" borderId="0" xfId="0" applyNumberFormat="1" applyFont="1" applyFill="1"/>
    <xf numFmtId="0" fontId="0" fillId="9" borderId="0" xfId="0" applyFill="1"/>
    <xf numFmtId="0" fontId="0" fillId="8" borderId="6" xfId="0" applyFill="1" applyBorder="1"/>
    <xf numFmtId="0" fontId="17" fillId="8" borderId="7" xfId="0" quotePrefix="1" applyFont="1" applyFill="1" applyBorder="1"/>
    <xf numFmtId="0" fontId="17" fillId="8" borderId="7" xfId="0" applyFont="1" applyFill="1" applyBorder="1"/>
    <xf numFmtId="0" fontId="0" fillId="8" borderId="7" xfId="0" applyFill="1" applyBorder="1"/>
    <xf numFmtId="0" fontId="0" fillId="8" borderId="7" xfId="0" quotePrefix="1" applyFill="1" applyBorder="1"/>
    <xf numFmtId="0" fontId="0" fillId="8" borderId="8" xfId="0" applyFill="1" applyBorder="1"/>
    <xf numFmtId="0" fontId="0" fillId="8" borderId="6" xfId="0" quotePrefix="1" applyFill="1" applyBorder="1"/>
    <xf numFmtId="0" fontId="0" fillId="8" borderId="9" xfId="0" applyFill="1" applyBorder="1"/>
    <xf numFmtId="0" fontId="0" fillId="8" borderId="7" xfId="0" applyFill="1" applyBorder="1" applyAlignment="1">
      <alignment horizontal="left"/>
    </xf>
    <xf numFmtId="0" fontId="14" fillId="8" borderId="7" xfId="0" applyFont="1" applyFill="1" applyBorder="1"/>
    <xf numFmtId="0" fontId="19" fillId="8" borderId="7" xfId="0" applyFont="1" applyFill="1" applyBorder="1"/>
    <xf numFmtId="166" fontId="6" fillId="5" borderId="0" xfId="2" applyNumberFormat="1" applyFont="1" applyFill="1" applyProtection="1">
      <protection locked="0"/>
    </xf>
    <xf numFmtId="166" fontId="6" fillId="5" borderId="0" xfId="2" applyNumberFormat="1" applyFont="1" applyFill="1" applyAlignment="1" applyProtection="1">
      <alignment wrapText="1"/>
      <protection locked="0"/>
    </xf>
    <xf numFmtId="166" fontId="0" fillId="5" borderId="0" xfId="2" applyNumberFormat="1" applyFont="1" applyFill="1" applyProtection="1">
      <protection locked="0"/>
    </xf>
    <xf numFmtId="166" fontId="3" fillId="2" borderId="0" xfId="2" applyNumberFormat="1" applyFont="1" applyFill="1" applyProtection="1"/>
    <xf numFmtId="166" fontId="0" fillId="0" borderId="0" xfId="2" applyNumberFormat="1" applyFont="1" applyFill="1" applyProtection="1"/>
    <xf numFmtId="166" fontId="0" fillId="0" borderId="0" xfId="2" applyNumberFormat="1" applyFont="1" applyProtection="1"/>
    <xf numFmtId="0" fontId="1" fillId="11" borderId="0" xfId="4" applyFont="1" applyAlignment="1">
      <alignment vertical="center"/>
    </xf>
    <xf numFmtId="0" fontId="0" fillId="8" borderId="0" xfId="0" applyFill="1" applyAlignment="1">
      <alignment horizontal="left" vertical="center" indent="1"/>
    </xf>
    <xf numFmtId="0" fontId="0" fillId="0" borderId="0" xfId="0" applyAlignment="1">
      <alignment wrapText="1"/>
    </xf>
    <xf numFmtId="44" fontId="9" fillId="7" borderId="0" xfId="0" applyNumberFormat="1" applyFont="1" applyFill="1" applyAlignment="1">
      <alignment horizontal="center" vertical="center"/>
    </xf>
    <xf numFmtId="0" fontId="0" fillId="7" borderId="10" xfId="0" applyFill="1" applyBorder="1"/>
    <xf numFmtId="0" fontId="23" fillId="0" borderId="0" xfId="0" applyFont="1" applyAlignment="1">
      <alignment horizontal="left" indent="1"/>
    </xf>
    <xf numFmtId="166" fontId="0" fillId="0" borderId="5" xfId="2" applyNumberFormat="1" applyFont="1" applyBorder="1" applyAlignment="1">
      <alignment horizontal="center" vertical="center" wrapText="1"/>
    </xf>
    <xf numFmtId="0" fontId="24" fillId="9" borderId="0" xfId="0" applyFont="1" applyFill="1" applyAlignment="1">
      <alignment vertical="center"/>
    </xf>
    <xf numFmtId="0" fontId="24" fillId="9" borderId="0" xfId="0" applyFont="1" applyFill="1" applyAlignment="1">
      <alignment vertical="center" wrapText="1"/>
    </xf>
    <xf numFmtId="0" fontId="14" fillId="0" borderId="0" xfId="0" applyFont="1" applyAlignment="1">
      <alignment vertical="center"/>
    </xf>
    <xf numFmtId="0" fontId="0" fillId="0" borderId="0" xfId="0" applyAlignment="1">
      <alignment vertical="center" wrapText="1"/>
    </xf>
    <xf numFmtId="167" fontId="6" fillId="5" borderId="0" xfId="0" applyNumberFormat="1" applyFont="1" applyFill="1" applyAlignment="1" applyProtection="1">
      <alignment wrapText="1"/>
      <protection locked="0"/>
    </xf>
    <xf numFmtId="167" fontId="6" fillId="0" borderId="0" xfId="0" applyNumberFormat="1" applyFont="1" applyAlignment="1" applyProtection="1">
      <alignment wrapText="1"/>
      <protection locked="0"/>
    </xf>
    <xf numFmtId="168" fontId="0" fillId="0" borderId="0" xfId="0" applyNumberFormat="1"/>
    <xf numFmtId="0" fontId="6" fillId="10" borderId="0" xfId="0" applyFont="1" applyFill="1" applyAlignment="1" applyProtection="1">
      <alignment vertical="center" wrapText="1"/>
      <protection locked="0"/>
    </xf>
    <xf numFmtId="0" fontId="13" fillId="7" borderId="0" xfId="0" applyFont="1" applyFill="1" applyAlignment="1">
      <alignment horizontal="center" vertical="center"/>
    </xf>
    <xf numFmtId="0" fontId="11" fillId="8" borderId="0" xfId="0" applyFont="1" applyFill="1" applyAlignment="1">
      <alignment horizontal="left" vertical="center" wrapText="1" indent="1"/>
    </xf>
  </cellXfs>
  <cellStyles count="5">
    <cellStyle name="Currency" xfId="1" builtinId="4"/>
    <cellStyle name="Heading 3" xfId="3" builtinId="18"/>
    <cellStyle name="Neutral" xfId="4" builtinId="28"/>
    <cellStyle name="Normal" xfId="0" builtinId="0"/>
    <cellStyle name="Percent" xfId="2" builtinId="5"/>
  </cellStyles>
  <dxfs count="57">
    <dxf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</font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1" tint="0.34998626667073579"/>
        </patternFill>
      </fill>
      <alignment horizontal="general" vertical="center" textRotation="0" wrapText="1" indent="0" justifyLastLine="0" shrinkToFit="0" readingOrder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minor"/>
      </font>
      <numFmt numFmtId="166" formatCode="0%;\-0%;"/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family val="2"/>
        <scheme val="minor"/>
      </font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167" formatCode="dd/mm/yyyy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0" formatCode="General"/>
      <fill>
        <patternFill patternType="solid">
          <fgColor indexed="64"/>
          <bgColor rgb="FFFFFBEF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3" formatCode="#,##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numFmt numFmtId="4" formatCode="#,##0.00"/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6" formatCode="0%;\-0%;"/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fill>
        <patternFill patternType="solid">
          <fgColor indexed="64"/>
          <bgColor rgb="FFF1F7ED"/>
        </patternFill>
      </fill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  <alignment horizontal="general" vertical="bottom" textRotation="0" wrapText="1" indent="0" justifyLastLine="0" shrinkToFit="0" readingOrder="0"/>
      <protection locked="0" hidden="0"/>
    </dxf>
    <dxf>
      <border>
        <bottom style="medium">
          <color theme="1" tint="0.499984740745262"/>
        </bottom>
      </border>
    </dxf>
    <dxf>
      <font>
        <b/>
        <strike val="0"/>
        <outline val="0"/>
        <shadow val="0"/>
        <u val="none"/>
        <vertAlign val="baseline"/>
        <sz val="11"/>
        <color theme="1" tint="0.249977111117893"/>
        <name val="Arial"/>
        <family val="2"/>
        <scheme val="none"/>
      </font>
      <fill>
        <patternFill patternType="none">
          <fgColor indexed="64"/>
          <bgColor auto="1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color theme="6" tint="-0.249977111117893"/>
      </font>
    </dxf>
    <dxf>
      <font>
        <b/>
        <color theme="6" tint="-0.249977111117893"/>
      </font>
    </dxf>
    <dxf>
      <font>
        <b/>
        <color theme="6" tint="-0.249977111117893"/>
      </font>
      <border>
        <top style="thin">
          <color theme="6"/>
        </top>
        <bottom style="medium">
          <color theme="6"/>
        </bottom>
      </border>
    </dxf>
    <dxf>
      <font>
        <b/>
        <color theme="6" tint="-0.249977111117893"/>
      </font>
      <border>
        <bottom style="medium">
          <color theme="6"/>
        </bottom>
      </border>
    </dxf>
    <dxf>
      <font>
        <color theme="1" tint="0.34998626667073579"/>
      </font>
      <border>
        <top/>
        <bottom style="thin">
          <color theme="6"/>
        </bottom>
        <vertical style="thick">
          <color theme="0"/>
        </vertical>
        <horizontal style="thin">
          <color theme="0" tint="-0.14996795556505021"/>
        </horizontal>
      </border>
    </dxf>
  </dxfs>
  <tableStyles count="1" defaultTableStyle="TableStyleMedium2" defaultPivotStyle="PivotStyleLight16">
    <tableStyle name="LG_discreet" pivot="0" count="7" xr9:uid="{00000000-0011-0000-FFFF-FFFF00000000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firstColumnStripe" dxfId="50"/>
    </tableStyle>
  </tableStyles>
  <colors>
    <mruColors>
      <color rgb="FFE6834F"/>
      <color rgb="FF9DA85E"/>
      <color rgb="FF2981B9"/>
      <color rgb="FFF1F7ED"/>
      <color rgb="FFFFF9E7"/>
      <color rgb="FFFFFBEF"/>
      <color rgb="FFF4F9F1"/>
      <color rgb="FFF4F3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"Amount"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Calculation!$B$6:$B$29</c:f>
              <c:numCache>
                <c:formatCode>mmm\ yy</c:formatCode>
                <c:ptCount val="24"/>
                <c:pt idx="0">
                  <c:v>44197</c:v>
                </c:pt>
                <c:pt idx="1">
                  <c:v>44228</c:v>
                </c:pt>
                <c:pt idx="2">
                  <c:v>44256</c:v>
                </c:pt>
                <c:pt idx="3">
                  <c:v>44287</c:v>
                </c:pt>
                <c:pt idx="4">
                  <c:v>44317</c:v>
                </c:pt>
                <c:pt idx="5">
                  <c:v>44348</c:v>
                </c:pt>
                <c:pt idx="6">
                  <c:v>44378</c:v>
                </c:pt>
                <c:pt idx="7">
                  <c:v>44409</c:v>
                </c:pt>
                <c:pt idx="8">
                  <c:v>44440</c:v>
                </c:pt>
                <c:pt idx="9">
                  <c:v>44470</c:v>
                </c:pt>
                <c:pt idx="10">
                  <c:v>44501</c:v>
                </c:pt>
                <c:pt idx="11">
                  <c:v>44531</c:v>
                </c:pt>
                <c:pt idx="12">
                  <c:v>44562</c:v>
                </c:pt>
                <c:pt idx="13">
                  <c:v>44593</c:v>
                </c:pt>
                <c:pt idx="14">
                  <c:v>44621</c:v>
                </c:pt>
                <c:pt idx="15">
                  <c:v>44652</c:v>
                </c:pt>
                <c:pt idx="16">
                  <c:v>44682</c:v>
                </c:pt>
                <c:pt idx="17">
                  <c:v>44713</c:v>
                </c:pt>
                <c:pt idx="18">
                  <c:v>44743</c:v>
                </c:pt>
                <c:pt idx="19">
                  <c:v>44774</c:v>
                </c:pt>
                <c:pt idx="20">
                  <c:v>44805</c:v>
                </c:pt>
                <c:pt idx="21">
                  <c:v>44835</c:v>
                </c:pt>
                <c:pt idx="22">
                  <c:v>44866</c:v>
                </c:pt>
                <c:pt idx="23">
                  <c:v>44896</c:v>
                </c:pt>
              </c:numCache>
            </c:numRef>
          </c:cat>
          <c:val>
            <c:numRef>
              <c:f>Calculation!$C$6:$C$29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57233.05</c:v>
                </c:pt>
                <c:pt idx="3">
                  <c:v>19697.277707547168</c:v>
                </c:pt>
                <c:pt idx="4">
                  <c:v>3360</c:v>
                </c:pt>
                <c:pt idx="5">
                  <c:v>7000</c:v>
                </c:pt>
                <c:pt idx="6">
                  <c:v>0</c:v>
                </c:pt>
                <c:pt idx="7">
                  <c:v>5460</c:v>
                </c:pt>
                <c:pt idx="8">
                  <c:v>1375</c:v>
                </c:pt>
                <c:pt idx="9">
                  <c:v>4000</c:v>
                </c:pt>
                <c:pt idx="10">
                  <c:v>840</c:v>
                </c:pt>
                <c:pt idx="11">
                  <c:v>3600</c:v>
                </c:pt>
                <c:pt idx="12">
                  <c:v>12600</c:v>
                </c:pt>
                <c:pt idx="13">
                  <c:v>17630</c:v>
                </c:pt>
                <c:pt idx="14">
                  <c:v>8430</c:v>
                </c:pt>
                <c:pt idx="15">
                  <c:v>10362.5</c:v>
                </c:pt>
                <c:pt idx="16">
                  <c:v>6261</c:v>
                </c:pt>
                <c:pt idx="17">
                  <c:v>15480</c:v>
                </c:pt>
                <c:pt idx="18">
                  <c:v>0</c:v>
                </c:pt>
                <c:pt idx="19">
                  <c:v>7549</c:v>
                </c:pt>
                <c:pt idx="20">
                  <c:v>5948</c:v>
                </c:pt>
                <c:pt idx="21">
                  <c:v>1672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86-4520-9BBD-81E5B83A47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96031680"/>
        <c:axId val="596032664"/>
      </c:barChart>
      <c:dateAx>
        <c:axId val="596031680"/>
        <c:scaling>
          <c:orientation val="minMax"/>
        </c:scaling>
        <c:delete val="0"/>
        <c:axPos val="b"/>
        <c:numFmt formatCode="mmm\ 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2664"/>
        <c:crosses val="autoZero"/>
        <c:auto val="1"/>
        <c:lblOffset val="100"/>
        <c:baseTimeUnit val="months"/>
      </c:dateAx>
      <c:valAx>
        <c:axId val="59603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9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603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12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4" Type="http://schemas.openxmlformats.org/officeDocument/2006/relationships/image" Target="../media/image17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0</xdr:row>
      <xdr:rowOff>161925</xdr:rowOff>
    </xdr:from>
    <xdr:ext cx="1496179" cy="3872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7625" y="161925"/>
          <a:ext cx="1496179" cy="3872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Instructions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206586</xdr:colOff>
      <xdr:row>14</xdr:row>
      <xdr:rowOff>100119</xdr:rowOff>
    </xdr:from>
    <xdr:to>
      <xdr:col>9</xdr:col>
      <xdr:colOff>179914</xdr:colOff>
      <xdr:row>17</xdr:row>
      <xdr:rowOff>102870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6676813" y="2932642"/>
          <a:ext cx="1533946" cy="586740"/>
          <a:chOff x="7243658" y="3143251"/>
          <a:chExt cx="1551090" cy="49932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56" name="Button 12" hidden="1">
                <a:extLst>
                  <a:ext uri="{63B3BB69-23CF-44E3-9099-C40C66FF867C}">
                    <a14:compatExt spid="_x0000_s6156"/>
                  </a:ext>
                  <a:ext uri="{FF2B5EF4-FFF2-40B4-BE49-F238E27FC236}">
                    <a16:creationId xmlns:a16="http://schemas.microsoft.com/office/drawing/2014/main" id="{00000000-0008-0000-0100-00000C180000}"/>
                  </a:ext>
                </a:extLst>
              </xdr:cNvPr>
              <xdr:cNvSpPr/>
            </xdr:nvSpPr>
            <xdr:spPr bwMode="auto">
              <a:xfrm>
                <a:off x="7243658" y="3145370"/>
                <a:ext cx="1551090" cy="49720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 Add Customer</a:t>
                </a:r>
              </a:p>
            </xdr:txBody>
          </xdr:sp>
        </mc:Choice>
        <mc:Fallback/>
      </mc:AlternateContent>
      <xdr:pic macro="[0]!add_data_to_master">
        <xdr:nvPicPr>
          <xdr:cNvPr id="5" name="Graphic 4" descr="Employee Badge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283237" y="3143251"/>
            <a:ext cx="480059" cy="441112"/>
          </a:xfrm>
          <a:prstGeom prst="rect">
            <a:avLst/>
          </a:prstGeom>
        </xdr:spPr>
      </xdr:pic>
    </xdr:grpSp>
    <xdr:clientData/>
  </xdr:twoCellAnchor>
  <xdr:twoCellAnchor>
    <xdr:from>
      <xdr:col>8</xdr:col>
      <xdr:colOff>196640</xdr:colOff>
      <xdr:row>19</xdr:row>
      <xdr:rowOff>76201</xdr:rowOff>
    </xdr:from>
    <xdr:to>
      <xdr:col>9</xdr:col>
      <xdr:colOff>260561</xdr:colOff>
      <xdr:row>23</xdr:row>
      <xdr:rowOff>31750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6664962" y="3907368"/>
          <a:ext cx="1626444" cy="630977"/>
          <a:chOff x="6460068" y="3843868"/>
          <a:chExt cx="1634065" cy="56727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79" name="Button 35" hidden="1">
                <a:extLst>
                  <a:ext uri="{63B3BB69-23CF-44E3-9099-C40C66FF867C}">
                    <a14:compatExt spid="_x0000_s6179"/>
                  </a:ext>
                  <a:ext uri="{FF2B5EF4-FFF2-40B4-BE49-F238E27FC236}">
                    <a16:creationId xmlns:a16="http://schemas.microsoft.com/office/drawing/2014/main" id="{00000000-0008-0000-0100-000023180000}"/>
                  </a:ext>
                </a:extLst>
              </xdr:cNvPr>
              <xdr:cNvSpPr/>
            </xdr:nvSpPr>
            <xdr:spPr bwMode="auto">
              <a:xfrm>
                <a:off x="6468532" y="3896369"/>
                <a:ext cx="1557867" cy="51477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Edit Master Data</a:t>
                </a:r>
              </a:p>
            </xdr:txBody>
          </xdr:sp>
        </mc:Choice>
        <mc:Fallback/>
      </mc:AlternateContent>
      <xdr:grpSp>
        <xdr:nvGrpSpPr>
          <xdr:cNvPr id="20" name="Group 2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GrpSpPr>
            <a:grpSpLocks/>
          </xdr:cNvGrpSpPr>
        </xdr:nvGrpSpPr>
        <xdr:grpSpPr bwMode="auto">
          <a:xfrm>
            <a:off x="6460068" y="3843868"/>
            <a:ext cx="1634065" cy="533400"/>
            <a:chOff x="7243657" y="4536017"/>
            <a:chExt cx="1580938" cy="482388"/>
          </a:xfrm>
        </xdr:grpSpPr>
        <xdr:pic macro="[0]!edit_view_master_data">
          <xdr:nvPicPr>
            <xdr:cNvPr id="21" name="Graphic 7" descr="Pencil">
              <a:extLst>
                <a:ext uri="{FF2B5EF4-FFF2-40B4-BE49-F238E27FC236}">
                  <a16:creationId xmlns:a16="http://schemas.microsoft.com/office/drawing/2014/main" id="{00000000-0008-0000-0100-00001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7301494" y="4679602"/>
              <a:ext cx="343445" cy="301082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4</xdr:col>
      <xdr:colOff>183938</xdr:colOff>
      <xdr:row>17</xdr:row>
      <xdr:rowOff>59477</xdr:rowOff>
    </xdr:from>
    <xdr:to>
      <xdr:col>5</xdr:col>
      <xdr:colOff>168698</xdr:colOff>
      <xdr:row>20</xdr:row>
      <xdr:rowOff>8042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2563283" y="3474084"/>
          <a:ext cx="1556808" cy="536363"/>
          <a:chOff x="2647950" y="3702040"/>
          <a:chExt cx="1556808" cy="53445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80" name="Button 36" hidden="1">
                <a:extLst>
                  <a:ext uri="{63B3BB69-23CF-44E3-9099-C40C66FF867C}">
                    <a14:compatExt spid="_x0000_s6180"/>
                  </a:ext>
                  <a:ext uri="{FF2B5EF4-FFF2-40B4-BE49-F238E27FC236}">
                    <a16:creationId xmlns:a16="http://schemas.microsoft.com/office/drawing/2014/main" id="{00000000-0008-0000-0100-000024180000}"/>
                  </a:ext>
                </a:extLst>
              </xdr:cNvPr>
              <xdr:cNvSpPr/>
            </xdr:nvSpPr>
            <xdr:spPr bwMode="auto">
              <a:xfrm>
                <a:off x="2647950" y="3702040"/>
                <a:ext cx="1556808" cy="53445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1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View Invoices</a:t>
                </a:r>
              </a:p>
            </xdr:txBody>
          </xdr:sp>
        </mc:Choice>
        <mc:Fallback/>
      </mc:AlternateContent>
      <xdr:pic macro="[0]!view_invoices">
        <xdr:nvPicPr>
          <xdr:cNvPr id="11" name="Graphic 10" descr="Table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749762" y="3808095"/>
            <a:ext cx="372736" cy="354597"/>
          </a:xfrm>
          <a:prstGeom prst="rect">
            <a:avLst/>
          </a:prstGeom>
        </xdr:spPr>
      </xdr:pic>
    </xdr:grpSp>
    <xdr:clientData/>
  </xdr:twoCellAnchor>
  <xdr:twoCellAnchor editAs="oneCell">
    <xdr:from>
      <xdr:col>2</xdr:col>
      <xdr:colOff>730250</xdr:colOff>
      <xdr:row>2</xdr:row>
      <xdr:rowOff>158750</xdr:rowOff>
    </xdr:from>
    <xdr:to>
      <xdr:col>3</xdr:col>
      <xdr:colOff>691092</xdr:colOff>
      <xdr:row>5</xdr:row>
      <xdr:rowOff>135890</xdr:rowOff>
    </xdr:to>
    <xdr:pic>
      <xdr:nvPicPr>
        <xdr:cNvPr id="13" name="Graphic 12" descr="Money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037167" y="497417"/>
          <a:ext cx="914400" cy="894080"/>
        </a:xfrm>
        <a:prstGeom prst="rect">
          <a:avLst/>
        </a:prstGeom>
      </xdr:spPr>
    </xdr:pic>
    <xdr:clientData/>
  </xdr:twoCellAnchor>
  <xdr:twoCellAnchor editAs="oneCell">
    <xdr:from>
      <xdr:col>6</xdr:col>
      <xdr:colOff>605155</xdr:colOff>
      <xdr:row>2</xdr:row>
      <xdr:rowOff>160655</xdr:rowOff>
    </xdr:from>
    <xdr:to>
      <xdr:col>7</xdr:col>
      <xdr:colOff>818515</xdr:colOff>
      <xdr:row>5</xdr:row>
      <xdr:rowOff>131446</xdr:rowOff>
    </xdr:to>
    <xdr:pic>
      <xdr:nvPicPr>
        <xdr:cNvPr id="14" name="Graphic 13" descr="Download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5050155" y="499322"/>
          <a:ext cx="914612" cy="895351"/>
        </a:xfrm>
        <a:prstGeom prst="rect">
          <a:avLst/>
        </a:prstGeom>
      </xdr:spPr>
    </xdr:pic>
    <xdr:clientData/>
  </xdr:twoCellAnchor>
  <xdr:twoCellAnchor editAs="oneCell">
    <xdr:from>
      <xdr:col>10</xdr:col>
      <xdr:colOff>613410</xdr:colOff>
      <xdr:row>2</xdr:row>
      <xdr:rowOff>188595</xdr:rowOff>
    </xdr:from>
    <xdr:to>
      <xdr:col>11</xdr:col>
      <xdr:colOff>839893</xdr:colOff>
      <xdr:row>6</xdr:row>
      <xdr:rowOff>1694</xdr:rowOff>
    </xdr:to>
    <xdr:pic>
      <xdr:nvPicPr>
        <xdr:cNvPr id="15" name="Graphic 14" descr="Teacher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9143577" y="527262"/>
          <a:ext cx="914399" cy="903182"/>
        </a:xfrm>
        <a:prstGeom prst="rect">
          <a:avLst/>
        </a:prstGeom>
      </xdr:spPr>
    </xdr:pic>
    <xdr:clientData/>
  </xdr:twoCellAnchor>
  <xdr:oneCellAnchor>
    <xdr:from>
      <xdr:col>3</xdr:col>
      <xdr:colOff>0</xdr:colOff>
      <xdr:row>27</xdr:row>
      <xdr:rowOff>52917</xdr:rowOff>
    </xdr:from>
    <xdr:ext cx="1510093" cy="254557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 txBox="1"/>
      </xdr:nvSpPr>
      <xdr:spPr>
        <a:xfrm>
          <a:off x="1047750" y="5238750"/>
          <a:ext cx="1510093" cy="254557"/>
        </a:xfrm>
        <a:prstGeom prst="rect">
          <a:avLst/>
        </a:prstGeom>
        <a:solidFill>
          <a:schemeClr val="bg1">
            <a:lumMod val="95000"/>
          </a:schemeClr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>
              <a:solidFill>
                <a:schemeClr val="tx1">
                  <a:lumMod val="65000"/>
                  <a:lumOff val="35000"/>
                </a:schemeClr>
              </a:solidFill>
            </a:rPr>
            <a:t>Development to Date</a:t>
          </a:r>
        </a:p>
      </xdr:txBody>
    </xdr:sp>
    <xdr:clientData/>
  </xdr:oneCellAnchor>
  <xdr:twoCellAnchor>
    <xdr:from>
      <xdr:col>3</xdr:col>
      <xdr:colOff>42333</xdr:colOff>
      <xdr:row>30</xdr:row>
      <xdr:rowOff>137582</xdr:rowOff>
    </xdr:from>
    <xdr:to>
      <xdr:col>13</xdr:col>
      <xdr:colOff>576792</xdr:colOff>
      <xdr:row>46</xdr:row>
      <xdr:rowOff>158751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144356</xdr:colOff>
      <xdr:row>0</xdr:row>
      <xdr:rowOff>136737</xdr:rowOff>
    </xdr:from>
    <xdr:to>
      <xdr:col>2</xdr:col>
      <xdr:colOff>702310</xdr:colOff>
      <xdr:row>2</xdr:row>
      <xdr:rowOff>264583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142451" y="132927"/>
          <a:ext cx="2659169" cy="1052406"/>
          <a:chOff x="0" y="85725"/>
          <a:chExt cx="2000250" cy="904875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175" name="Button 7" hidden="1">
                <a:extLst>
                  <a:ext uri="{63B3BB69-23CF-44E3-9099-C40C66FF867C}">
                    <a14:compatExt spid="_x0000_s7175"/>
                  </a:ext>
                  <a:ext uri="{FF2B5EF4-FFF2-40B4-BE49-F238E27FC236}">
                    <a16:creationId xmlns:a16="http://schemas.microsoft.com/office/drawing/2014/main" id="{00000000-0008-0000-0200-0000071C0000}"/>
                  </a:ext>
                </a:extLst>
              </xdr:cNvPr>
              <xdr:cNvSpPr/>
            </xdr:nvSpPr>
            <xdr:spPr bwMode="auto">
              <a:xfrm>
                <a:off x="406547" y="273669"/>
                <a:ext cx="1593703" cy="5423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27432" rIns="36576" bIns="27432" anchor="ctr" upright="1"/>
              <a:lstStyle/>
              <a:p>
                <a:pPr algn="ctr" rtl="0">
                  <a:defRPr sz="1000"/>
                </a:pPr>
                <a:r>
                  <a:rPr lang="en-AU" sz="10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         Create Invoices</a:t>
                </a:r>
              </a:p>
            </xdr:txBody>
          </xdr:sp>
        </mc:Choice>
        <mc:Fallback/>
      </mc:AlternateContent>
      <xdr:pic macro="[0]!create_invoice">
        <xdr:nvPicPr>
          <xdr:cNvPr id="4" name="Graphic 3" descr="Typewriter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85725"/>
            <a:ext cx="1045660" cy="904875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151130</xdr:colOff>
      <xdr:row>3</xdr:row>
      <xdr:rowOff>17356</xdr:rowOff>
    </xdr:from>
    <xdr:to>
      <xdr:col>1</xdr:col>
      <xdr:colOff>1597025</xdr:colOff>
      <xdr:row>5</xdr:row>
      <xdr:rowOff>16511</xdr:rowOff>
    </xdr:to>
    <xdr:pic macro="[0]!return_dashboard">
      <xdr:nvPicPr>
        <xdr:cNvPr id="7" name="Graphic 6" descr="Arrow: Straight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1630" y="1213273"/>
          <a:ext cx="1457537" cy="6762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99060</xdr:colOff>
          <xdr:row>5</xdr:row>
          <xdr:rowOff>175260</xdr:rowOff>
        </xdr:from>
        <xdr:to>
          <xdr:col>1</xdr:col>
          <xdr:colOff>1440180</xdr:colOff>
          <xdr:row>5</xdr:row>
          <xdr:rowOff>556260</xdr:rowOff>
        </xdr:to>
        <xdr:sp macro="" textlink="">
          <xdr:nvSpPr>
            <xdr:cNvPr id="7180" name="axCollapse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2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5</xdr:row>
          <xdr:rowOff>182880</xdr:rowOff>
        </xdr:from>
        <xdr:to>
          <xdr:col>2</xdr:col>
          <xdr:colOff>1379220</xdr:colOff>
          <xdr:row>5</xdr:row>
          <xdr:rowOff>563880</xdr:rowOff>
        </xdr:to>
        <xdr:sp macro="" textlink="">
          <xdr:nvSpPr>
            <xdr:cNvPr id="7181" name="axHide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2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914400</xdr:colOff>
      <xdr:row>1</xdr:row>
      <xdr:rowOff>78525</xdr:rowOff>
    </xdr:from>
    <xdr:to>
      <xdr:col>4</xdr:col>
      <xdr:colOff>472440</xdr:colOff>
      <xdr:row>2</xdr:row>
      <xdr:rowOff>98108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14800" y="249975"/>
          <a:ext cx="2038350" cy="2119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100013</xdr:colOff>
      <xdr:row>3</xdr:row>
      <xdr:rowOff>94443</xdr:rowOff>
    </xdr:from>
    <xdr:to>
      <xdr:col>21</xdr:col>
      <xdr:colOff>308465</xdr:colOff>
      <xdr:row>16</xdr:row>
      <xdr:rowOff>98724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834313" y="637368"/>
          <a:ext cx="7752252" cy="23626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InvoiceTable" displayName="InvoiceTable" ref="B7:AB57" totalsRowShown="0" headerRowDxfId="49" dataDxfId="47" headerRowBorderDxfId="48">
  <autoFilter ref="B7:AB57" xr:uid="{00000000-0009-0000-0100-000002000000}"/>
  <tableColumns count="27">
    <tableColumn id="1" xr3:uid="{00000000-0010-0000-0000-000001000000}" name="Customer" dataDxfId="46"/>
    <tableColumn id="2" xr3:uid="{00000000-0010-0000-0000-000002000000}" name="Company" dataDxfId="45"/>
    <tableColumn id="3" xr3:uid="{00000000-0010-0000-0000-000003000000}" name="Address Line 1" dataDxfId="44"/>
    <tableColumn id="4" xr3:uid="{00000000-0010-0000-0000-000004000000}" name="Address Line 2" dataDxfId="43"/>
    <tableColumn id="5" xr3:uid="{00000000-0010-0000-0000-000005000000}" name="Address Line 3" dataDxfId="42"/>
    <tableColumn id="6" xr3:uid="{00000000-0010-0000-0000-000006000000}" name="UID" dataDxfId="41"/>
    <tableColumn id="22" xr3:uid="{00000000-0010-0000-0000-000016000000}" name="VAT" dataDxfId="40" dataCellStyle="Percent"/>
    <tableColumn id="7" xr3:uid="{00000000-0010-0000-0000-000007000000}" name="Services Line 1" dataDxfId="39"/>
    <tableColumn id="8" xr3:uid="{00000000-0010-0000-0000-000008000000}" name="Date Line 1" dataDxfId="38"/>
    <tableColumn id="9" xr3:uid="{00000000-0010-0000-0000-000009000000}" name="Amount Line 1" dataDxfId="37"/>
    <tableColumn id="10" xr3:uid="{00000000-0010-0000-0000-00000A000000}" name="Services Line 2" dataDxfId="36"/>
    <tableColumn id="11" xr3:uid="{00000000-0010-0000-0000-00000B000000}" name="Date Line 2" dataDxfId="35"/>
    <tableColumn id="12" xr3:uid="{00000000-0010-0000-0000-00000C000000}" name="Amount Line 2" dataDxfId="34"/>
    <tableColumn id="13" xr3:uid="{00000000-0010-0000-0000-00000D000000}" name="Services Line 3" dataDxfId="33"/>
    <tableColumn id="14" xr3:uid="{00000000-0010-0000-0000-00000E000000}" name="Date Line 3" dataDxfId="32"/>
    <tableColumn id="15" xr3:uid="{00000000-0010-0000-0000-00000F000000}" name="Amount Line 3" dataDxfId="31"/>
    <tableColumn id="19" xr3:uid="{00000000-0010-0000-0000-000013000000}" name="Agreed Amount Total" dataDxfId="30">
      <calculatedColumnFormula>InvoiceTable[[#This Row],[Amount Line 1]]+InvoiceTable[[#This Row],[Amount Line 2]]+InvoiceTable[[#This Row],[Amount Line 3]]</calculatedColumnFormula>
    </tableColumn>
    <tableColumn id="20" xr3:uid="{00000000-0010-0000-0000-000014000000}" name="Additional Expenses" dataDxfId="29"/>
    <tableColumn id="21" xr3:uid="{00000000-0010-0000-0000-000015000000}" name="Net Amount" dataDxfId="28">
      <calculatedColumnFormula>InvoiceTable[[#This Row],[Agreed Amount Total]]+InvoiceTable[[#This Row],[Additional Expenses]]</calculatedColumnFormula>
    </tableColumn>
    <tableColumn id="23" xr3:uid="{00000000-0010-0000-0000-000017000000}" name="Final Invoiced Amount" dataDxfId="27">
      <calculatedColumnFormula>InvoiceTable[[#This Row],[Net Amount]]+InvoiceTable[[#This Row],[VAT to Pay]]</calculatedColumnFormula>
    </tableColumn>
    <tableColumn id="24" xr3:uid="{00000000-0010-0000-0000-000018000000}" name="Invoice number" dataDxfId="26"/>
    <tableColumn id="25" xr3:uid="{00000000-0010-0000-0000-000019000000}" name="Invoice Date" dataDxfId="25"/>
    <tableColumn id="26" xr3:uid="{00000000-0010-0000-0000-00001A000000}" name="Due by" dataDxfId="24">
      <calculatedColumnFormula>IF(InvoiceTable[[#This Row],[Invoice Date]]="","",WORKDAY(InvoiceTable[[#This Row],[Invoice Date]],14))</calculatedColumnFormula>
    </tableColumn>
    <tableColumn id="27" xr3:uid="{00000000-0010-0000-0000-00001B000000}" name="Status" dataDxfId="23"/>
    <tableColumn id="28" xr3:uid="{00000000-0010-0000-0000-00001C000000}" name="Date Paid" dataDxfId="22"/>
    <tableColumn id="29" xr3:uid="{00000000-0010-0000-0000-00001D000000}" name="VAT to Pay" dataDxfId="21">
      <calculatedColumnFormula>InvoiceTable[[#This Row],[Net Amount]]*InvoiceTable[[#This Row],[VAT]]</calculatedColumnFormula>
    </tableColumn>
    <tableColumn id="30" xr3:uid="{00000000-0010-0000-0000-00001E000000}" name="Transfer Savings" dataDxfId="20">
      <calculatedColumnFormula>R8*0.5</calculatedColumnFormula>
    </tableColumn>
  </tableColumns>
  <tableStyleInfo name="LG_discreet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ustomerTable" displayName="CustomerTable" ref="A1:H32" totalsRowShown="0" headerRowDxfId="19" dataDxfId="18">
  <autoFilter ref="A1:H32" xr:uid="{00000000-0009-0000-0100-000001000000}"/>
  <tableColumns count="8">
    <tableColumn id="1" xr3:uid="{00000000-0010-0000-0100-000001000000}" name="Customer" dataDxfId="17"/>
    <tableColumn id="2" xr3:uid="{00000000-0010-0000-0100-000002000000}" name="Company" dataDxfId="16"/>
    <tableColumn id="3" xr3:uid="{00000000-0010-0000-0100-000003000000}" name="Address Line 1" dataDxfId="15"/>
    <tableColumn id="4" xr3:uid="{00000000-0010-0000-0100-000004000000}" name="Address Line 2" dataDxfId="14"/>
    <tableColumn id="5" xr3:uid="{00000000-0010-0000-0100-000005000000}" name="Address Line 3" dataDxfId="13"/>
    <tableColumn id="6" xr3:uid="{00000000-0010-0000-0100-000006000000}" name="UID" dataDxfId="12"/>
    <tableColumn id="7" xr3:uid="{00000000-0010-0000-0100-000007000000}" name="VAT" dataDxfId="11" dataCellStyle="Percent"/>
    <tableColumn id="8" xr3:uid="{00000000-0010-0000-0100-000008000000}" name="Email" dataDxfId="1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41A1E9-D00D-44F0-9BC1-20072F331BF1}" name="VBAGlossary" displayName="VBAGlossary" ref="A1:H25" totalsRowShown="0" headerRowDxfId="9" dataDxfId="8">
  <autoFilter ref="A1:H25" xr:uid="{8041A1E9-D00D-44F0-9BC1-20072F331BF1}"/>
  <tableColumns count="8">
    <tableColumn id="1" xr3:uid="{35B58124-F548-48A1-BE69-C565BE85228B}" name="Controls" dataDxfId="7"/>
    <tableColumn id="2" xr3:uid="{DB33EDB5-5795-4593-9727-AD6632958526}" name="Control Type" dataDxfId="6"/>
    <tableColumn id="3" xr3:uid="{CBE9EA24-6255-4F67-A049-29DAF0E2FC2C}" name="Control Location" dataDxfId="5"/>
    <tableColumn id="4" xr3:uid="{935113B1-7A94-43E4-9304-FA67BCE75281}" name="Related Userform / Module" dataDxfId="4"/>
    <tableColumn id="5" xr3:uid="{10B6B74F-17E2-4102-8E8C-14E333B2AE5D}" name="Component Type" dataDxfId="3"/>
    <tableColumn id="6" xr3:uid="{06874D35-6B84-4F99-B618-C41A69A7F62C}" name="Related Events / Sub Procedure" dataDxfId="2"/>
    <tableColumn id="7" xr3:uid="{1BF98527-EF5D-4F7B-8FF9-3CE05E5C8AAB}" name="Event Type" dataDxfId="1"/>
    <tableColumn id="8" xr3:uid="{70011853-B3B4-4AB2-AC3B-5586C33987C5}" name="Description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2.emf"/><Relationship Id="rId4" Type="http://schemas.openxmlformats.org/officeDocument/2006/relationships/control" Target="../activeX/activeX1.xml"/><Relationship Id="rId9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Garrett@Rehire.com" TargetMode="External"/><Relationship Id="rId2" Type="http://schemas.openxmlformats.org/officeDocument/2006/relationships/hyperlink" Target="mailto:Crystal.Doyle@Silvrr.com" TargetMode="External"/><Relationship Id="rId1" Type="http://schemas.openxmlformats.org/officeDocument/2006/relationships/hyperlink" Target="mailto:Rmusse@Dasring.com" TargetMode="External"/><Relationship Id="rId6" Type="http://schemas.openxmlformats.org/officeDocument/2006/relationships/table" Target="../tables/table2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Phill@Fightrr.com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9" tint="-0.249977111117893"/>
  </sheetPr>
  <dimension ref="A1:P56"/>
  <sheetViews>
    <sheetView workbookViewId="0">
      <selection activeCell="J20" sqref="J20"/>
    </sheetView>
  </sheetViews>
  <sheetFormatPr defaultColWidth="0" defaultRowHeight="12.75" customHeight="1" zeroHeight="1" x14ac:dyDescent="0.25"/>
  <cols>
    <col min="1" max="1" width="1.19921875" style="12" customWidth="1"/>
    <col min="2" max="2" width="2.69921875" style="12" customWidth="1"/>
    <col min="3" max="13" width="8" style="12" customWidth="1"/>
    <col min="14" max="14" width="11" style="12" customWidth="1"/>
    <col min="15" max="15" width="2" style="12" customWidth="1"/>
    <col min="16" max="16" width="2.19921875" style="12" customWidth="1"/>
    <col min="17" max="16384" width="7.8984375" hidden="1"/>
  </cols>
  <sheetData>
    <row r="1" spans="1:16" ht="13.8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</row>
    <row r="2" spans="1:16" ht="13.8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</row>
    <row r="3" spans="1:16" ht="13.8" x14ac:dyDescent="0.2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</row>
    <row r="4" spans="1:16" ht="13.8" x14ac:dyDescent="0.25">
      <c r="A4" s="53"/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3"/>
      <c r="P4" s="53"/>
    </row>
    <row r="5" spans="1:16" ht="17.399999999999999" x14ac:dyDescent="0.3">
      <c r="A5" s="53"/>
      <c r="B5" s="55"/>
      <c r="C5" s="56" t="s">
        <v>254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3"/>
      <c r="P5" s="53"/>
    </row>
    <row r="6" spans="1:16" ht="13.8" x14ac:dyDescent="0.25">
      <c r="A6" s="53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3"/>
      <c r="P6" s="53"/>
    </row>
    <row r="7" spans="1:16" ht="13.8" x14ac:dyDescent="0.25">
      <c r="A7" s="53"/>
      <c r="B7" s="57"/>
      <c r="C7" s="58" t="s">
        <v>274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3"/>
      <c r="P7" s="53"/>
    </row>
    <row r="8" spans="1:16" ht="13.8" x14ac:dyDescent="0.25">
      <c r="A8" s="53"/>
      <c r="B8" s="57"/>
      <c r="C8" s="58" t="s">
        <v>255</v>
      </c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3"/>
      <c r="P8" s="53"/>
    </row>
    <row r="9" spans="1:16" ht="13.8" x14ac:dyDescent="0.25">
      <c r="A9" s="53"/>
      <c r="B9" s="57"/>
      <c r="C9" s="58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3"/>
      <c r="P9" s="53"/>
    </row>
    <row r="10" spans="1:16" ht="13.8" x14ac:dyDescent="0.25">
      <c r="A10" s="53"/>
      <c r="B10" s="57"/>
      <c r="C10" s="58" t="s">
        <v>256</v>
      </c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3"/>
      <c r="P10" s="53"/>
    </row>
    <row r="11" spans="1:16" ht="13.8" x14ac:dyDescent="0.25">
      <c r="A11" s="53"/>
      <c r="B11" s="57"/>
      <c r="C11" s="62" t="s">
        <v>257</v>
      </c>
      <c r="D11" s="57"/>
      <c r="E11" s="57"/>
      <c r="F11" s="57"/>
      <c r="G11" s="57"/>
      <c r="H11" s="57"/>
      <c r="I11" s="57"/>
      <c r="J11" s="57"/>
      <c r="K11" s="57"/>
      <c r="L11" s="57"/>
      <c r="M11" s="57"/>
      <c r="N11" s="57"/>
      <c r="O11" s="53"/>
      <c r="P11" s="53"/>
    </row>
    <row r="12" spans="1:16" ht="13.8" x14ac:dyDescent="0.25">
      <c r="A12" s="53"/>
      <c r="B12" s="57"/>
      <c r="C12" s="62" t="s">
        <v>275</v>
      </c>
      <c r="D12" s="57"/>
      <c r="E12" s="57"/>
      <c r="F12" s="57"/>
      <c r="G12" s="57"/>
      <c r="H12" s="57"/>
      <c r="I12" s="57"/>
      <c r="J12" s="57"/>
      <c r="K12" s="57"/>
      <c r="L12" s="57"/>
      <c r="M12" s="57"/>
      <c r="N12" s="57"/>
      <c r="O12" s="53"/>
      <c r="P12" s="53"/>
    </row>
    <row r="13" spans="1:16" ht="13.8" x14ac:dyDescent="0.25">
      <c r="A13" s="53"/>
      <c r="B13" s="57"/>
      <c r="C13" s="58" t="s">
        <v>258</v>
      </c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3"/>
      <c r="P13" s="53"/>
    </row>
    <row r="14" spans="1:16" ht="13.8" x14ac:dyDescent="0.25">
      <c r="A14" s="53"/>
      <c r="B14" s="57"/>
      <c r="C14" s="5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3"/>
      <c r="P14" s="53"/>
    </row>
    <row r="15" spans="1:16" ht="17.399999999999999" x14ac:dyDescent="0.3">
      <c r="A15" s="53"/>
      <c r="B15" s="57"/>
      <c r="C15" s="56" t="s">
        <v>259</v>
      </c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3"/>
      <c r="P15" s="53"/>
    </row>
    <row r="16" spans="1:16" ht="13.8" x14ac:dyDescent="0.25">
      <c r="A16" s="53"/>
      <c r="B16" s="57"/>
      <c r="C16" s="5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3"/>
      <c r="P16" s="53"/>
    </row>
    <row r="17" spans="1:16" ht="13.8" x14ac:dyDescent="0.25">
      <c r="A17" s="53"/>
      <c r="B17" s="57"/>
      <c r="C17" s="58" t="s">
        <v>265</v>
      </c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3"/>
      <c r="P17" s="53"/>
    </row>
    <row r="18" spans="1:16" ht="13.8" x14ac:dyDescent="0.25">
      <c r="A18" s="53"/>
      <c r="B18" s="59"/>
      <c r="D18" s="59"/>
      <c r="E18" s="59"/>
      <c r="F18" s="59"/>
      <c r="G18" s="57"/>
      <c r="H18" s="57"/>
      <c r="I18" s="57"/>
      <c r="J18" s="57"/>
      <c r="K18" s="57"/>
      <c r="L18" s="57"/>
      <c r="M18" s="57"/>
      <c r="N18" s="57"/>
      <c r="O18" s="53"/>
      <c r="P18" s="53"/>
    </row>
    <row r="19" spans="1:16" ht="13.8" x14ac:dyDescent="0.25">
      <c r="A19" s="53"/>
      <c r="B19" s="54"/>
      <c r="C19" s="63" t="s">
        <v>260</v>
      </c>
      <c r="D19" s="60"/>
      <c r="E19" s="54"/>
      <c r="F19" s="54"/>
      <c r="G19" s="57"/>
      <c r="H19" s="57"/>
      <c r="I19" s="57"/>
      <c r="J19" s="57"/>
      <c r="K19" s="57"/>
      <c r="L19" s="57"/>
      <c r="M19" s="57"/>
      <c r="N19" s="57"/>
      <c r="O19" s="53"/>
      <c r="P19" s="53"/>
    </row>
    <row r="20" spans="1:16" ht="13.8" x14ac:dyDescent="0.25">
      <c r="A20" s="53"/>
      <c r="B20" s="57"/>
      <c r="C20" s="57" t="s">
        <v>261</v>
      </c>
      <c r="D20" s="58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3"/>
      <c r="P20" s="53"/>
    </row>
    <row r="21" spans="1:16" ht="14.4" x14ac:dyDescent="0.3">
      <c r="A21" s="53"/>
      <c r="B21" s="57"/>
      <c r="C21" s="57" t="s">
        <v>276</v>
      </c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3"/>
      <c r="P21" s="53"/>
    </row>
    <row r="22" spans="1:16" ht="14.4" x14ac:dyDescent="0.3">
      <c r="A22" s="53"/>
      <c r="B22" s="57"/>
      <c r="C22" s="58" t="s">
        <v>277</v>
      </c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3"/>
      <c r="P22" s="53"/>
    </row>
    <row r="23" spans="1:16" ht="13.8" x14ac:dyDescent="0.25">
      <c r="A23" s="53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3"/>
      <c r="P23" s="53"/>
    </row>
    <row r="24" spans="1:16" ht="13.8" x14ac:dyDescent="0.25">
      <c r="A24" s="53"/>
      <c r="B24" s="57"/>
      <c r="C24" s="63" t="s">
        <v>262</v>
      </c>
      <c r="D24" s="58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3"/>
      <c r="P24" s="53"/>
    </row>
    <row r="25" spans="1:16" ht="13.8" x14ac:dyDescent="0.25">
      <c r="A25" s="53"/>
      <c r="B25" s="57"/>
      <c r="C25" s="57" t="s">
        <v>278</v>
      </c>
      <c r="D25" s="58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3"/>
      <c r="P25" s="53"/>
    </row>
    <row r="26" spans="1:16" ht="13.8" x14ac:dyDescent="0.25">
      <c r="A26" s="53"/>
      <c r="B26" s="57"/>
      <c r="C26" s="57" t="s">
        <v>263</v>
      </c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3"/>
      <c r="P26" s="53"/>
    </row>
    <row r="27" spans="1:16" ht="13.8" x14ac:dyDescent="0.25">
      <c r="A27" s="53"/>
      <c r="B27" s="57"/>
      <c r="C27" s="58" t="s">
        <v>264</v>
      </c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3"/>
      <c r="P27" s="53"/>
    </row>
    <row r="28" spans="1:16" ht="17.399999999999999" x14ac:dyDescent="0.3">
      <c r="A28" s="53"/>
      <c r="B28" s="57"/>
      <c r="C28" s="56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3"/>
      <c r="P28" s="53"/>
    </row>
    <row r="29" spans="1:16" ht="13.8" x14ac:dyDescent="0.25">
      <c r="A29" s="53"/>
      <c r="B29" s="57"/>
      <c r="C29" s="63" t="s">
        <v>266</v>
      </c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3"/>
      <c r="P29" s="53"/>
    </row>
    <row r="30" spans="1:16" ht="13.8" x14ac:dyDescent="0.25">
      <c r="A30" s="53"/>
      <c r="B30" s="57"/>
      <c r="C30" s="57" t="s">
        <v>267</v>
      </c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3"/>
      <c r="P30" s="53"/>
    </row>
    <row r="31" spans="1:16" ht="14.4" x14ac:dyDescent="0.3">
      <c r="A31" s="53"/>
      <c r="B31" s="57"/>
      <c r="C31" s="58" t="s">
        <v>279</v>
      </c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3"/>
      <c r="P31" s="53"/>
    </row>
    <row r="32" spans="1:16" ht="13.8" x14ac:dyDescent="0.25">
      <c r="A32" s="53"/>
      <c r="B32" s="57"/>
      <c r="C32" s="58" t="s">
        <v>280</v>
      </c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3"/>
      <c r="P32" s="53"/>
    </row>
    <row r="33" spans="1:16" ht="13.8" x14ac:dyDescent="0.25">
      <c r="A33" s="53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3"/>
      <c r="P33" s="53"/>
    </row>
    <row r="34" spans="1:16" ht="13.8" x14ac:dyDescent="0.25">
      <c r="A34" s="53"/>
      <c r="B34" s="57"/>
      <c r="C34" s="63" t="s">
        <v>268</v>
      </c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3"/>
      <c r="P34" s="53"/>
    </row>
    <row r="35" spans="1:16" ht="13.8" x14ac:dyDescent="0.25">
      <c r="A35" s="53"/>
      <c r="B35" s="57"/>
      <c r="C35" s="58" t="s">
        <v>269</v>
      </c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3"/>
      <c r="P35" s="53"/>
    </row>
    <row r="36" spans="1:16" ht="14.4" x14ac:dyDescent="0.3">
      <c r="A36" s="53"/>
      <c r="B36" s="57"/>
      <c r="C36" s="58" t="s">
        <v>281</v>
      </c>
      <c r="D36" s="58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3"/>
      <c r="P36" s="53"/>
    </row>
    <row r="37" spans="1:16" ht="14.4" x14ac:dyDescent="0.3">
      <c r="A37" s="53"/>
      <c r="B37" s="57"/>
      <c r="C37" s="57" t="s">
        <v>282</v>
      </c>
      <c r="D37" s="58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3"/>
      <c r="P37" s="53"/>
    </row>
    <row r="38" spans="1:16" ht="13.8" x14ac:dyDescent="0.25">
      <c r="A38" s="53"/>
      <c r="B38" s="57"/>
      <c r="C38" s="58" t="s">
        <v>270</v>
      </c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3"/>
      <c r="P38" s="53"/>
    </row>
    <row r="39" spans="1:16" ht="13.8" x14ac:dyDescent="0.25">
      <c r="A39" s="53"/>
      <c r="B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3"/>
      <c r="P39" s="53"/>
    </row>
    <row r="40" spans="1:16" ht="14.4" x14ac:dyDescent="0.3">
      <c r="A40" s="53"/>
      <c r="B40" s="57"/>
      <c r="C40" s="57" t="s">
        <v>283</v>
      </c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3"/>
      <c r="P40" s="53"/>
    </row>
    <row r="41" spans="1:16" ht="13.8" x14ac:dyDescent="0.25">
      <c r="A41" s="53"/>
      <c r="B41" s="57"/>
      <c r="C41" s="57" t="s">
        <v>284</v>
      </c>
      <c r="D41" s="58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3"/>
      <c r="P41" s="53"/>
    </row>
    <row r="42" spans="1:16" ht="14.4" x14ac:dyDescent="0.3">
      <c r="A42" s="53"/>
      <c r="B42" s="57"/>
      <c r="C42" s="57" t="s">
        <v>285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3"/>
      <c r="P42" s="53"/>
    </row>
    <row r="43" spans="1:16" ht="13.8" x14ac:dyDescent="0.25">
      <c r="A43" s="53"/>
      <c r="B43" s="57"/>
      <c r="C43" s="57" t="s">
        <v>286</v>
      </c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3"/>
      <c r="P43" s="53"/>
    </row>
    <row r="44" spans="1:16" ht="13.8" x14ac:dyDescent="0.25">
      <c r="A44" s="53"/>
      <c r="B44" s="57"/>
      <c r="C44" s="64" t="s">
        <v>287</v>
      </c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3"/>
      <c r="P44" s="53"/>
    </row>
    <row r="45" spans="1:16" ht="13.8" x14ac:dyDescent="0.25">
      <c r="A45" s="53"/>
      <c r="B45" s="57"/>
      <c r="C45" s="5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3"/>
      <c r="P45" s="53"/>
    </row>
    <row r="46" spans="1:16" ht="13.8" x14ac:dyDescent="0.25">
      <c r="A46" s="53"/>
      <c r="B46" s="57"/>
      <c r="C46" s="63" t="s">
        <v>271</v>
      </c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3"/>
      <c r="P46" s="53"/>
    </row>
    <row r="47" spans="1:16" ht="13.8" x14ac:dyDescent="0.25">
      <c r="A47" s="53"/>
      <c r="B47" s="57"/>
      <c r="C47" s="57" t="s">
        <v>272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3"/>
      <c r="P47" s="53"/>
    </row>
    <row r="48" spans="1:16" ht="13.8" x14ac:dyDescent="0.25">
      <c r="A48" s="53"/>
      <c r="B48" s="57"/>
      <c r="C48" s="57" t="s">
        <v>273</v>
      </c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3"/>
      <c r="P48" s="53"/>
    </row>
    <row r="49" spans="1:16" ht="13.8" x14ac:dyDescent="0.25">
      <c r="A49" s="53"/>
      <c r="B49" s="57"/>
      <c r="C49" s="57"/>
      <c r="D49" s="58"/>
      <c r="E49" s="57"/>
      <c r="F49" s="57"/>
      <c r="G49" s="57"/>
      <c r="H49" s="57"/>
      <c r="I49" s="57"/>
      <c r="J49" s="57"/>
      <c r="K49" s="57"/>
      <c r="L49" s="57"/>
      <c r="M49" s="57"/>
      <c r="N49" s="57"/>
      <c r="O49" s="53"/>
      <c r="P49" s="53"/>
    </row>
    <row r="50" spans="1:16" ht="13.8" x14ac:dyDescent="0.25">
      <c r="A50" s="53"/>
      <c r="B50" s="57"/>
      <c r="C50" s="57"/>
      <c r="D50" s="57"/>
      <c r="E50" s="57"/>
      <c r="F50" s="57"/>
      <c r="G50" s="57"/>
      <c r="H50" s="57"/>
      <c r="I50" s="57"/>
      <c r="J50" s="57"/>
      <c r="K50" s="57"/>
      <c r="L50" s="57"/>
      <c r="M50" s="57"/>
      <c r="N50" s="57"/>
      <c r="O50" s="53"/>
      <c r="P50" s="53"/>
    </row>
    <row r="51" spans="1:16" ht="13.8" x14ac:dyDescent="0.25">
      <c r="A51" s="53"/>
      <c r="B51" s="57"/>
      <c r="C51" s="57" t="s">
        <v>288</v>
      </c>
      <c r="D51" s="57"/>
      <c r="E51" s="57"/>
      <c r="F51" s="57"/>
      <c r="G51" s="57"/>
      <c r="H51" s="57"/>
      <c r="I51" s="57"/>
      <c r="J51" s="57"/>
      <c r="K51" s="57"/>
      <c r="L51" s="57"/>
      <c r="M51" s="57"/>
      <c r="N51" s="57"/>
      <c r="O51" s="53"/>
      <c r="P51" s="53"/>
    </row>
    <row r="52" spans="1:16" ht="13.8" x14ac:dyDescent="0.25">
      <c r="A52" s="53"/>
      <c r="B52" s="57"/>
      <c r="C52" s="57" t="s">
        <v>289</v>
      </c>
      <c r="D52" s="57"/>
      <c r="E52" s="57"/>
      <c r="F52" s="57"/>
      <c r="G52" s="57"/>
      <c r="H52" s="57"/>
      <c r="I52" s="57"/>
      <c r="J52" s="57"/>
      <c r="K52" s="57"/>
      <c r="L52" s="57"/>
      <c r="M52" s="57"/>
      <c r="N52" s="57"/>
      <c r="O52" s="53"/>
      <c r="P52" s="53"/>
    </row>
    <row r="53" spans="1:16" ht="13.8" x14ac:dyDescent="0.25">
      <c r="A53" s="53"/>
      <c r="B53" s="57"/>
      <c r="C53" s="57"/>
      <c r="D53" s="57"/>
      <c r="E53" s="57"/>
      <c r="F53" s="57"/>
      <c r="G53" s="57"/>
      <c r="H53" s="57"/>
      <c r="I53" s="57"/>
      <c r="J53" s="57"/>
      <c r="K53" s="57"/>
      <c r="L53" s="57"/>
      <c r="M53" s="57"/>
      <c r="N53" s="57"/>
      <c r="O53" s="53"/>
      <c r="P53" s="53"/>
    </row>
    <row r="54" spans="1:16" ht="13.8" x14ac:dyDescent="0.25">
      <c r="A54" s="53"/>
      <c r="B54" s="61"/>
      <c r="C54" s="61"/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53"/>
      <c r="P54" s="53"/>
    </row>
    <row r="55" spans="1:16" ht="13.8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</row>
    <row r="56" spans="1:16" ht="13.8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Dash">
    <tabColor theme="1" tint="0.34998626667073579"/>
  </sheetPr>
  <dimension ref="A1:V59"/>
  <sheetViews>
    <sheetView showGridLines="0" tabSelected="1" zoomScale="90" zoomScaleNormal="90" workbookViewId="0">
      <selection activeCell="F25" sqref="F25"/>
    </sheetView>
  </sheetViews>
  <sheetFormatPr defaultColWidth="0" defaultRowHeight="13.8" zeroHeight="1" x14ac:dyDescent="0.25"/>
  <cols>
    <col min="1" max="1" width="1.59765625" customWidth="1"/>
    <col min="2" max="2" width="2.3984375" customWidth="1"/>
    <col min="3" max="3" width="12.296875" customWidth="1"/>
    <col min="4" max="4" width="15" customWidth="1"/>
    <col min="5" max="5" width="20.5" customWidth="1"/>
    <col min="6" max="7" width="9" customWidth="1"/>
    <col min="8" max="8" width="15" customWidth="1"/>
    <col min="9" max="9" width="20.5" customWidth="1"/>
    <col min="10" max="11" width="9" customWidth="1"/>
    <col min="12" max="12" width="15" customWidth="1"/>
    <col min="13" max="13" width="20.5" customWidth="1"/>
    <col min="14" max="17" width="9" customWidth="1"/>
    <col min="18" max="22" width="0" hidden="1" customWidth="1"/>
    <col min="23" max="16384" width="9" hidden="1"/>
  </cols>
  <sheetData>
    <row r="1" spans="1:22" x14ac:dyDescent="0.25">
      <c r="A1" s="7"/>
      <c r="B1" s="7"/>
      <c r="C1" s="52">
        <f>DATE(2022,10,23)</f>
        <v>44857</v>
      </c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</row>
    <row r="2" spans="1:22" ht="14.25" customHeight="1" x14ac:dyDescent="0.25">
      <c r="A2" s="7"/>
      <c r="B2" s="7"/>
      <c r="C2" s="86">
        <f>YEAR(C1)</f>
        <v>2022</v>
      </c>
      <c r="D2" s="8"/>
      <c r="E2" s="8"/>
      <c r="F2" s="8"/>
      <c r="G2" s="7"/>
      <c r="H2" s="8"/>
      <c r="I2" s="8"/>
      <c r="J2" s="8"/>
      <c r="K2" s="7"/>
      <c r="L2" s="8"/>
      <c r="M2" s="8"/>
      <c r="N2" s="8"/>
      <c r="O2" s="7"/>
      <c r="P2" s="7"/>
      <c r="Q2" s="7"/>
      <c r="R2" s="7"/>
      <c r="S2" s="7"/>
      <c r="T2" s="7"/>
      <c r="U2" s="7"/>
      <c r="V2" s="7"/>
    </row>
    <row r="3" spans="1:22" ht="17.25" customHeight="1" x14ac:dyDescent="0.25">
      <c r="A3" s="7"/>
      <c r="B3" s="7"/>
      <c r="C3" s="86"/>
      <c r="D3" s="11" t="s">
        <v>203</v>
      </c>
      <c r="E3" s="7"/>
      <c r="F3" s="7"/>
      <c r="G3" s="7"/>
      <c r="H3" s="11" t="s">
        <v>204</v>
      </c>
      <c r="I3" s="7"/>
      <c r="J3" s="7"/>
      <c r="K3" s="7"/>
      <c r="L3" s="11" t="s">
        <v>205</v>
      </c>
      <c r="M3" s="7"/>
      <c r="N3" s="7"/>
      <c r="O3" s="7"/>
      <c r="P3" s="7"/>
      <c r="Q3" s="7"/>
      <c r="R3" s="7"/>
      <c r="S3" s="7"/>
      <c r="T3" s="7"/>
      <c r="U3" s="7"/>
      <c r="V3" s="7"/>
    </row>
    <row r="4" spans="1:22" ht="17.25" customHeight="1" x14ac:dyDescent="0.25">
      <c r="A4" s="7"/>
      <c r="B4" s="7"/>
      <c r="C4" s="10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</row>
    <row r="5" spans="1:22" ht="39" customHeight="1" x14ac:dyDescent="0.25">
      <c r="A5" s="7"/>
      <c r="B5" s="7"/>
      <c r="C5" s="7"/>
      <c r="D5" s="7"/>
      <c r="E5" s="74">
        <f>SUMIFS(InvoiceTable[Net Amount],InvoiceTable[Invoice Date],"&gt;="&amp;DATE(Dashboard!C2,1,1),InvoiceTable[Invoice Date],"&lt;"&amp;DATE(Dashboard!C2+1,1,1),InvoiceTable[Status],"Paid")</f>
        <v>85932.5</v>
      </c>
      <c r="F5" s="7"/>
      <c r="G5" s="7"/>
      <c r="H5" s="7"/>
      <c r="I5" s="74">
        <f>SUMIFS(InvoiceTable[Net Amount],InvoiceTable[Invoice Date],"&gt;="&amp;DATE(Dashboard!C2,1,1),InvoiceTable[Invoice Date],"&lt;"&amp;DATE(Dashboard!C2+1,1,1),InvoiceTable[Status],"&lt;&gt;paid")</f>
        <v>40200</v>
      </c>
      <c r="J5" s="7"/>
      <c r="K5" s="7"/>
      <c r="L5" s="7"/>
      <c r="M5" s="9">
        <f>COUNTIFS(InvoiceTable[Invoice Date],"&gt;="&amp;DATE(Dashboard!C2,1,1),InvoiceTable[Invoice Date],"&lt;"&amp;DATE(Dashboard!C2+1,1,1))</f>
        <v>29</v>
      </c>
      <c r="N5" s="7"/>
      <c r="O5" s="7"/>
      <c r="P5" s="7"/>
      <c r="Q5" s="7"/>
      <c r="R5" s="7"/>
      <c r="S5" s="7"/>
      <c r="T5" s="7"/>
      <c r="U5" s="7"/>
      <c r="V5" s="7"/>
    </row>
    <row r="6" spans="1:22" x14ac:dyDescent="0.25">
      <c r="A6" s="7"/>
      <c r="B6" s="7"/>
      <c r="C6" s="7"/>
      <c r="D6" s="8"/>
      <c r="E6" s="8"/>
      <c r="F6" s="8"/>
      <c r="G6" s="7"/>
      <c r="H6" s="8"/>
      <c r="I6" s="8"/>
      <c r="J6" s="8"/>
      <c r="K6" s="7"/>
      <c r="L6" s="8"/>
      <c r="M6" s="8"/>
      <c r="N6" s="8"/>
      <c r="O6" s="7"/>
      <c r="P6" s="7"/>
      <c r="Q6" s="7"/>
      <c r="R6" s="7"/>
      <c r="S6" s="7"/>
      <c r="T6" s="7"/>
      <c r="U6" s="7"/>
      <c r="V6" s="7"/>
    </row>
    <row r="7" spans="1:22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</row>
    <row r="9" spans="1:22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</row>
    <row r="10" spans="1:22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</row>
    <row r="11" spans="1:22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</row>
    <row r="12" spans="1:22" ht="23.25" customHeight="1" x14ac:dyDescent="0.25">
      <c r="A12" s="7"/>
      <c r="B12" s="7"/>
      <c r="C12" s="7"/>
      <c r="D12" s="24" t="s">
        <v>307</v>
      </c>
      <c r="E12" s="12"/>
      <c r="F12" s="12"/>
      <c r="G12" s="7"/>
      <c r="H12" s="24" t="s">
        <v>210</v>
      </c>
      <c r="I12" s="12"/>
      <c r="J12" s="12"/>
      <c r="K12" s="7"/>
      <c r="L12" s="24" t="s">
        <v>303</v>
      </c>
      <c r="M12" s="12"/>
      <c r="N12" s="12"/>
      <c r="O12" s="7"/>
      <c r="P12" s="7"/>
      <c r="Q12" s="7"/>
      <c r="R12" s="7"/>
      <c r="S12" s="7"/>
      <c r="T12" s="7"/>
      <c r="U12" s="7"/>
      <c r="V12" s="7"/>
    </row>
    <row r="13" spans="1:22" ht="8.4" customHeight="1" x14ac:dyDescent="0.25">
      <c r="A13" s="7"/>
      <c r="B13" s="7"/>
      <c r="C13" s="7"/>
      <c r="D13" s="24"/>
      <c r="E13" s="12"/>
      <c r="F13" s="12"/>
      <c r="G13" s="7"/>
      <c r="H13" s="24"/>
      <c r="I13" s="12"/>
      <c r="J13" s="12"/>
      <c r="K13" s="7"/>
      <c r="L13" s="24"/>
      <c r="M13" s="12"/>
      <c r="N13" s="12"/>
      <c r="O13" s="7"/>
      <c r="P13" s="7"/>
      <c r="Q13" s="7"/>
      <c r="R13" s="7"/>
      <c r="S13" s="7"/>
      <c r="T13" s="7"/>
      <c r="U13" s="7"/>
      <c r="V13" s="7"/>
    </row>
    <row r="14" spans="1:22" ht="13.8" customHeight="1" x14ac:dyDescent="0.25">
      <c r="A14" s="7"/>
      <c r="B14" s="7"/>
      <c r="C14" s="7"/>
      <c r="D14" s="13" t="s">
        <v>308</v>
      </c>
      <c r="E14" s="12"/>
      <c r="F14" s="12"/>
      <c r="G14" s="7"/>
      <c r="H14" s="13" t="s">
        <v>295</v>
      </c>
      <c r="I14" s="12"/>
      <c r="J14" s="12"/>
      <c r="K14" s="7"/>
      <c r="L14" s="87" t="s">
        <v>300</v>
      </c>
      <c r="M14" s="87"/>
      <c r="N14" s="87"/>
      <c r="O14" s="7"/>
      <c r="P14" s="7"/>
      <c r="Q14" s="7"/>
      <c r="R14" s="7"/>
      <c r="S14" s="7"/>
      <c r="T14" s="7"/>
      <c r="U14" s="7"/>
      <c r="V14" s="7"/>
    </row>
    <row r="15" spans="1:22" x14ac:dyDescent="0.25">
      <c r="A15" s="7"/>
      <c r="B15" s="7"/>
      <c r="C15" s="7"/>
      <c r="D15" s="13" t="s">
        <v>309</v>
      </c>
      <c r="E15" s="12"/>
      <c r="F15" s="12"/>
      <c r="G15" s="7"/>
      <c r="I15" s="12"/>
      <c r="J15" s="12"/>
      <c r="K15" s="7"/>
      <c r="L15" s="87"/>
      <c r="M15" s="87"/>
      <c r="N15" s="87"/>
      <c r="O15" s="7"/>
      <c r="P15" s="7"/>
      <c r="Q15" s="7"/>
      <c r="R15" s="7"/>
      <c r="S15" s="7"/>
      <c r="T15" s="7"/>
      <c r="U15" s="7"/>
      <c r="V15" s="7"/>
    </row>
    <row r="16" spans="1:22" x14ac:dyDescent="0.25">
      <c r="A16" s="7"/>
      <c r="B16" s="7"/>
      <c r="C16" s="7"/>
      <c r="D16" s="13" t="s">
        <v>310</v>
      </c>
      <c r="E16" s="12"/>
      <c r="F16" s="12"/>
      <c r="G16" s="7"/>
      <c r="H16" s="13"/>
      <c r="I16" s="12"/>
      <c r="J16" s="12"/>
      <c r="K16" s="7"/>
      <c r="L16" s="13"/>
      <c r="M16" s="12"/>
      <c r="N16" s="12"/>
      <c r="O16" s="7"/>
      <c r="P16" s="7"/>
      <c r="Q16" s="7"/>
      <c r="R16" s="7"/>
      <c r="S16" s="7"/>
      <c r="T16" s="7"/>
      <c r="U16" s="7"/>
      <c r="V16" s="7"/>
    </row>
    <row r="17" spans="1:22" ht="19.2" customHeight="1" x14ac:dyDescent="0.25">
      <c r="A17" s="7"/>
      <c r="B17" s="7"/>
      <c r="C17" s="7"/>
      <c r="D17" s="12"/>
      <c r="E17" s="12"/>
      <c r="F17" s="12"/>
      <c r="G17" s="7"/>
      <c r="H17" s="12"/>
      <c r="I17" s="12"/>
      <c r="J17" s="12"/>
      <c r="K17" s="7"/>
      <c r="L17" s="72" t="s">
        <v>301</v>
      </c>
      <c r="M17" s="71" t="s">
        <v>304</v>
      </c>
      <c r="N17" s="12"/>
      <c r="O17" s="7"/>
      <c r="P17" s="7"/>
      <c r="Q17" s="7"/>
      <c r="R17" s="7"/>
      <c r="S17" s="7"/>
      <c r="T17" s="7"/>
      <c r="U17" s="7"/>
      <c r="V17" s="7"/>
    </row>
    <row r="18" spans="1:22" x14ac:dyDescent="0.25">
      <c r="A18" s="7"/>
      <c r="B18" s="7"/>
      <c r="C18" s="7"/>
      <c r="D18" s="12"/>
      <c r="E18" s="12"/>
      <c r="F18" s="12"/>
      <c r="G18" s="7"/>
      <c r="H18" s="12"/>
      <c r="I18" s="12"/>
      <c r="J18" s="12"/>
      <c r="K18" s="7"/>
      <c r="L18" s="12"/>
      <c r="M18" s="12"/>
      <c r="N18" s="12"/>
      <c r="O18" s="7"/>
      <c r="P18" s="7"/>
      <c r="Q18" s="7"/>
      <c r="R18" s="7"/>
      <c r="S18" s="7"/>
      <c r="T18" s="7"/>
      <c r="U18" s="7"/>
      <c r="V18" s="7"/>
    </row>
    <row r="19" spans="1:22" ht="19.2" customHeight="1" x14ac:dyDescent="0.25">
      <c r="A19" s="7"/>
      <c r="B19" s="7"/>
      <c r="C19" s="7"/>
      <c r="D19" s="13"/>
      <c r="E19" s="12"/>
      <c r="F19" s="12"/>
      <c r="G19" s="7"/>
      <c r="H19" s="13" t="s">
        <v>294</v>
      </c>
      <c r="I19" s="12"/>
      <c r="J19" s="12"/>
      <c r="K19" s="7"/>
      <c r="L19" s="72" t="s">
        <v>302</v>
      </c>
      <c r="M19" s="71" t="s">
        <v>305</v>
      </c>
      <c r="N19" s="12"/>
      <c r="O19" s="7"/>
      <c r="P19" s="7"/>
      <c r="Q19" s="7"/>
      <c r="R19" s="7"/>
      <c r="S19" s="7"/>
      <c r="T19" s="7"/>
      <c r="U19" s="7"/>
      <c r="V19" s="7"/>
    </row>
    <row r="20" spans="1:22" x14ac:dyDescent="0.25">
      <c r="A20" s="7"/>
      <c r="B20" s="7"/>
      <c r="C20" s="7"/>
      <c r="D20" s="12"/>
      <c r="E20" s="12"/>
      <c r="F20" s="12"/>
      <c r="G20" s="7"/>
      <c r="H20" s="12"/>
      <c r="I20" s="12"/>
      <c r="J20" s="12"/>
      <c r="K20" s="7"/>
      <c r="L20" s="12"/>
      <c r="M20" s="12"/>
      <c r="N20" s="12"/>
      <c r="O20" s="7"/>
      <c r="P20" s="7"/>
      <c r="Q20" s="7"/>
      <c r="R20" s="7"/>
      <c r="S20" s="7"/>
      <c r="T20" s="7"/>
      <c r="U20" s="7"/>
      <c r="V20" s="7"/>
    </row>
    <row r="21" spans="1:22" x14ac:dyDescent="0.25">
      <c r="A21" s="7"/>
      <c r="B21" s="7"/>
      <c r="C21" s="7"/>
      <c r="D21" s="12"/>
      <c r="E21" s="12"/>
      <c r="F21" s="12"/>
      <c r="G21" s="7"/>
      <c r="H21" s="12"/>
      <c r="I21" s="12"/>
      <c r="J21" s="12"/>
      <c r="K21" s="7"/>
      <c r="L21" s="12"/>
      <c r="M21" s="12"/>
      <c r="N21" s="12"/>
      <c r="O21" s="7"/>
      <c r="P21" s="7"/>
      <c r="Q21" s="7"/>
      <c r="R21" s="7"/>
      <c r="S21" s="7"/>
      <c r="T21" s="7"/>
      <c r="U21" s="7"/>
      <c r="V21" s="7"/>
    </row>
    <row r="22" spans="1:22" x14ac:dyDescent="0.25">
      <c r="A22" s="7"/>
      <c r="B22" s="7"/>
      <c r="C22" s="7"/>
      <c r="D22" s="12"/>
      <c r="E22" s="12"/>
      <c r="F22" s="12"/>
      <c r="G22" s="7"/>
      <c r="H22" s="12"/>
      <c r="I22" s="12"/>
      <c r="J22" s="12"/>
      <c r="K22" s="7"/>
      <c r="L22" s="12"/>
      <c r="M22" s="12"/>
      <c r="N22" s="12"/>
      <c r="O22" s="7"/>
      <c r="P22" s="7"/>
      <c r="Q22" s="7"/>
      <c r="R22" s="7"/>
      <c r="S22" s="7"/>
      <c r="T22" s="7"/>
      <c r="U22" s="7"/>
      <c r="V22" s="7"/>
    </row>
    <row r="23" spans="1:22" x14ac:dyDescent="0.25">
      <c r="A23" s="7"/>
      <c r="B23" s="7"/>
      <c r="C23" s="7"/>
      <c r="D23" s="12"/>
      <c r="E23" s="12"/>
      <c r="F23" s="12"/>
      <c r="G23" s="7"/>
      <c r="H23" s="12"/>
      <c r="I23" s="12"/>
      <c r="J23" s="12"/>
      <c r="K23" s="7"/>
      <c r="L23" s="12"/>
      <c r="M23" s="12"/>
      <c r="N23" s="12"/>
      <c r="O23" s="7"/>
      <c r="P23" s="7"/>
      <c r="Q23" s="7"/>
      <c r="R23" s="7"/>
      <c r="S23" s="7"/>
      <c r="T23" s="7"/>
      <c r="U23" s="7"/>
      <c r="V23" s="7"/>
    </row>
    <row r="24" spans="1:22" x14ac:dyDescent="0.25">
      <c r="A24" s="7"/>
      <c r="B24" s="7"/>
      <c r="C24" s="7"/>
      <c r="G24" s="7"/>
      <c r="K24" s="7"/>
      <c r="O24" s="7"/>
      <c r="P24" s="7"/>
      <c r="Q24" s="7"/>
      <c r="R24" s="7"/>
      <c r="S24" s="7"/>
      <c r="T24" s="7"/>
      <c r="U24" s="7"/>
      <c r="V24" s="7"/>
    </row>
    <row r="25" spans="1:22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</row>
    <row r="26" spans="1:22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</row>
    <row r="27" spans="1:22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</row>
    <row r="28" spans="1:22" ht="14.25" customHeight="1" x14ac:dyDescent="0.25">
      <c r="A28" s="7"/>
      <c r="B28" s="7"/>
      <c r="C28" s="7"/>
      <c r="D28" s="7"/>
      <c r="E28" s="75"/>
      <c r="F28" s="75"/>
      <c r="G28" s="75"/>
      <c r="H28" s="75"/>
      <c r="I28" s="75"/>
      <c r="J28" s="75"/>
      <c r="K28" s="75"/>
      <c r="L28" s="75"/>
      <c r="M28" s="75"/>
      <c r="N28" s="75"/>
      <c r="O28" s="7"/>
      <c r="P28" s="7"/>
      <c r="Q28" s="7"/>
      <c r="R28" s="7"/>
      <c r="S28" s="7"/>
      <c r="T28" s="7"/>
      <c r="U28" s="7"/>
      <c r="V28" s="7"/>
    </row>
    <row r="29" spans="1:22" ht="22.5" customHeight="1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</row>
    <row r="30" spans="1:22" ht="17.399999999999999" x14ac:dyDescent="0.3">
      <c r="A30" s="7"/>
      <c r="B30" s="7"/>
      <c r="C30" s="7"/>
      <c r="D30" s="76" t="s">
        <v>381</v>
      </c>
      <c r="O30" s="7"/>
      <c r="P30" s="7"/>
      <c r="Q30" s="7"/>
      <c r="R30" s="7"/>
      <c r="S30" s="7"/>
      <c r="T30" s="7"/>
      <c r="U30" s="7"/>
      <c r="V30" s="7"/>
    </row>
    <row r="31" spans="1:22" x14ac:dyDescent="0.25">
      <c r="A31" s="7"/>
      <c r="B31" s="7"/>
      <c r="C31" s="7"/>
      <c r="O31" s="7"/>
      <c r="P31" s="7"/>
      <c r="Q31" s="7"/>
      <c r="R31" s="7"/>
      <c r="S31" s="7"/>
      <c r="T31" s="7"/>
      <c r="U31" s="7"/>
      <c r="V31" s="7"/>
    </row>
    <row r="32" spans="1:22" x14ac:dyDescent="0.25">
      <c r="A32" s="7"/>
      <c r="B32" s="7"/>
      <c r="C32" s="7"/>
      <c r="O32" s="7"/>
      <c r="P32" s="7"/>
      <c r="Q32" s="7"/>
      <c r="R32" s="7"/>
      <c r="S32" s="7"/>
      <c r="T32" s="7"/>
      <c r="U32" s="7"/>
      <c r="V32" s="7"/>
    </row>
    <row r="33" spans="1:22" x14ac:dyDescent="0.25">
      <c r="A33" s="7"/>
      <c r="B33" s="7"/>
      <c r="C33" s="7"/>
      <c r="O33" s="7"/>
      <c r="P33" s="7"/>
      <c r="Q33" s="7"/>
      <c r="R33" s="7"/>
      <c r="S33" s="7"/>
      <c r="T33" s="7"/>
      <c r="U33" s="7"/>
      <c r="V33" s="7"/>
    </row>
    <row r="34" spans="1:22" x14ac:dyDescent="0.25">
      <c r="A34" s="7"/>
      <c r="B34" s="7"/>
      <c r="C34" s="7"/>
      <c r="O34" s="7"/>
      <c r="P34" s="7"/>
      <c r="Q34" s="7"/>
      <c r="R34" s="7"/>
      <c r="S34" s="7"/>
      <c r="T34" s="7"/>
      <c r="U34" s="7"/>
      <c r="V34" s="7"/>
    </row>
    <row r="35" spans="1:22" x14ac:dyDescent="0.25">
      <c r="A35" s="7"/>
      <c r="B35" s="7"/>
      <c r="C35" s="7"/>
      <c r="O35" s="7"/>
      <c r="P35" s="7"/>
      <c r="Q35" s="7"/>
      <c r="R35" s="7"/>
      <c r="S35" s="7"/>
      <c r="T35" s="7"/>
      <c r="U35" s="7"/>
      <c r="V35" s="7"/>
    </row>
    <row r="36" spans="1:22" x14ac:dyDescent="0.25">
      <c r="A36" s="7"/>
      <c r="B36" s="7"/>
      <c r="C36" s="7"/>
      <c r="O36" s="7"/>
      <c r="P36" s="7"/>
      <c r="Q36" s="7"/>
      <c r="R36" s="7"/>
      <c r="S36" s="7"/>
      <c r="T36" s="7"/>
      <c r="U36" s="7"/>
      <c r="V36" s="7"/>
    </row>
    <row r="37" spans="1:22" x14ac:dyDescent="0.25">
      <c r="A37" s="7"/>
      <c r="B37" s="7"/>
      <c r="C37" s="7"/>
      <c r="O37" s="7"/>
      <c r="P37" s="7"/>
      <c r="Q37" s="7"/>
      <c r="R37" s="7"/>
      <c r="S37" s="7"/>
      <c r="T37" s="7"/>
      <c r="U37" s="7"/>
      <c r="V37" s="7"/>
    </row>
    <row r="38" spans="1:22" x14ac:dyDescent="0.25">
      <c r="A38" s="7"/>
      <c r="B38" s="7"/>
      <c r="C38" s="7"/>
      <c r="O38" s="7"/>
      <c r="P38" s="7"/>
      <c r="Q38" s="7"/>
      <c r="R38" s="7"/>
      <c r="S38" s="7"/>
      <c r="T38" s="7"/>
      <c r="U38" s="7"/>
      <c r="V38" s="7"/>
    </row>
    <row r="39" spans="1:22" x14ac:dyDescent="0.25">
      <c r="A39" s="7"/>
      <c r="B39" s="7"/>
      <c r="C39" s="7"/>
      <c r="O39" s="7"/>
      <c r="P39" s="7"/>
      <c r="Q39" s="7"/>
      <c r="R39" s="7"/>
      <c r="S39" s="7"/>
      <c r="T39" s="7"/>
      <c r="U39" s="7"/>
      <c r="V39" s="7"/>
    </row>
    <row r="40" spans="1:22" x14ac:dyDescent="0.25">
      <c r="A40" s="7"/>
      <c r="B40" s="7"/>
      <c r="C40" s="7"/>
      <c r="O40" s="7"/>
      <c r="P40" s="7"/>
      <c r="Q40" s="7"/>
      <c r="R40" s="7"/>
      <c r="S40" s="7"/>
      <c r="T40" s="7"/>
      <c r="U40" s="7"/>
      <c r="V40" s="7"/>
    </row>
    <row r="41" spans="1:22" x14ac:dyDescent="0.25">
      <c r="A41" s="7"/>
      <c r="B41" s="7"/>
      <c r="C41" s="7"/>
      <c r="O41" s="7"/>
      <c r="P41" s="7"/>
      <c r="Q41" s="7"/>
      <c r="R41" s="7"/>
      <c r="S41" s="7"/>
      <c r="T41" s="7"/>
      <c r="U41" s="7"/>
      <c r="V41" s="7"/>
    </row>
    <row r="42" spans="1:22" x14ac:dyDescent="0.25">
      <c r="A42" s="7"/>
      <c r="B42" s="7"/>
      <c r="C42" s="7"/>
      <c r="O42" s="7"/>
      <c r="P42" s="7"/>
      <c r="Q42" s="7"/>
      <c r="R42" s="7"/>
      <c r="S42" s="7"/>
      <c r="T42" s="7"/>
      <c r="U42" s="7"/>
      <c r="V42" s="7"/>
    </row>
    <row r="43" spans="1:22" x14ac:dyDescent="0.25">
      <c r="A43" s="7"/>
      <c r="B43" s="7"/>
      <c r="C43" s="7"/>
      <c r="O43" s="7"/>
      <c r="P43" s="7"/>
      <c r="Q43" s="7"/>
      <c r="R43" s="7"/>
      <c r="S43" s="7"/>
      <c r="T43" s="7"/>
      <c r="U43" s="7"/>
      <c r="V43" s="7"/>
    </row>
    <row r="44" spans="1:22" x14ac:dyDescent="0.25">
      <c r="A44" s="7"/>
      <c r="B44" s="7"/>
      <c r="C44" s="7"/>
      <c r="O44" s="7"/>
      <c r="P44" s="7"/>
      <c r="Q44" s="7"/>
      <c r="R44" s="7"/>
      <c r="S44" s="7"/>
      <c r="T44" s="7"/>
      <c r="U44" s="7"/>
      <c r="V44" s="7"/>
    </row>
    <row r="45" spans="1:22" x14ac:dyDescent="0.25">
      <c r="A45" s="7"/>
      <c r="B45" s="7"/>
      <c r="C45" s="7"/>
      <c r="O45" s="7"/>
      <c r="P45" s="7"/>
      <c r="Q45" s="7"/>
      <c r="R45" s="7"/>
      <c r="S45" s="7"/>
      <c r="T45" s="7"/>
      <c r="U45" s="7"/>
      <c r="V45" s="7"/>
    </row>
    <row r="46" spans="1:22" x14ac:dyDescent="0.25">
      <c r="A46" s="7"/>
      <c r="B46" s="7"/>
      <c r="C46" s="7"/>
      <c r="O46" s="7"/>
      <c r="P46" s="7"/>
      <c r="Q46" s="7"/>
      <c r="R46" s="7"/>
      <c r="S46" s="7"/>
      <c r="T46" s="7"/>
      <c r="U46" s="7"/>
      <c r="V46" s="7"/>
    </row>
    <row r="47" spans="1:22" x14ac:dyDescent="0.25">
      <c r="A47" s="7"/>
      <c r="B47" s="7"/>
      <c r="C47" s="7"/>
      <c r="O47" s="7"/>
      <c r="P47" s="7"/>
      <c r="Q47" s="7"/>
      <c r="R47" s="7"/>
      <c r="S47" s="7"/>
      <c r="T47" s="7"/>
      <c r="U47" s="7"/>
      <c r="V47" s="7"/>
    </row>
    <row r="48" spans="1:22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</row>
    <row r="49" spans="1:22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</row>
    <row r="50" spans="1:22" hidden="1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</row>
    <row r="51" spans="1:22" hidden="1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</row>
    <row r="52" spans="1:22" hidden="1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</row>
    <row r="53" spans="1:22" hidden="1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</row>
    <row r="54" spans="1:22" hidden="1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</row>
    <row r="55" spans="1:22" hidden="1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</row>
    <row r="56" spans="1:22" hidden="1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</row>
    <row r="57" spans="1:22" hidden="1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</row>
    <row r="58" spans="1:22" hidden="1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</row>
    <row r="59" spans="1:22" hidden="1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</row>
  </sheetData>
  <mergeCells count="2">
    <mergeCell ref="C2:C3"/>
    <mergeCell ref="L14:N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6" r:id="rId4" name="Button 12">
              <controlPr defaultSize="0" autoFill="0" autoPict="0" macro="[0]!add_data_to_master">
                <anchor moveWithCells="1" sizeWithCells="1">
                  <from>
                    <xdr:col>8</xdr:col>
                    <xdr:colOff>213360</xdr:colOff>
                    <xdr:row>14</xdr:row>
                    <xdr:rowOff>99060</xdr:rowOff>
                  </from>
                  <to>
                    <xdr:col>9</xdr:col>
                    <xdr:colOff>175260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5" name="Button 35">
              <controlPr defaultSize="0" autoFill="0" autoPict="0" macro="[0]!edit_view_master_data">
                <anchor moveWithCells="1" sizeWithCells="1">
                  <from>
                    <xdr:col>8</xdr:col>
                    <xdr:colOff>205740</xdr:colOff>
                    <xdr:row>19</xdr:row>
                    <xdr:rowOff>137160</xdr:rowOff>
                  </from>
                  <to>
                    <xdr:col>9</xdr:col>
                    <xdr:colOff>190500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6" name="Button 36">
              <controlPr defaultSize="0" autoFill="0" autoPict="0" macro="[0]!view_invoices">
                <anchor moveWithCells="1" sizeWithCells="1">
                  <from>
                    <xdr:col>4</xdr:col>
                    <xdr:colOff>182880</xdr:colOff>
                    <xdr:row>17</xdr:row>
                    <xdr:rowOff>53340</xdr:rowOff>
                  </from>
                  <to>
                    <xdr:col>5</xdr:col>
                    <xdr:colOff>175260</xdr:colOff>
                    <xdr:row>20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Invoice">
    <tabColor rgb="FFE6834F"/>
  </sheetPr>
  <dimension ref="A1:AX296"/>
  <sheetViews>
    <sheetView showGridLines="0" zoomScale="90" zoomScaleNormal="90" workbookViewId="0">
      <pane xSplit="3" ySplit="7" topLeftCell="H47" activePane="bottomRight" state="frozen"/>
      <selection pane="topRight" activeCell="D1" sqref="D1"/>
      <selection pane="bottomLeft" activeCell="A8" sqref="A8"/>
      <selection pane="bottomRight" activeCell="C57" sqref="C57"/>
    </sheetView>
  </sheetViews>
  <sheetFormatPr defaultColWidth="8.8984375" defaultRowHeight="13.8" outlineLevelCol="1" x14ac:dyDescent="0.25"/>
  <cols>
    <col min="1" max="1" width="2.5" style="32" customWidth="1"/>
    <col min="2" max="2" width="25" style="32" customWidth="1"/>
    <col min="3" max="3" width="25.296875" style="32" customWidth="1"/>
    <col min="4" max="4" width="38.69921875" style="32" hidden="1" customWidth="1" outlineLevel="1"/>
    <col min="5" max="5" width="16" style="32" hidden="1" customWidth="1" outlineLevel="1"/>
    <col min="6" max="6" width="14.19921875" style="32" hidden="1" customWidth="1" outlineLevel="1"/>
    <col min="7" max="7" width="12.5" style="51" hidden="1" customWidth="1" outlineLevel="1"/>
    <col min="8" max="8" width="10.296875" style="32" customWidth="1" collapsed="1"/>
    <col min="9" max="9" width="16.8984375" style="32" hidden="1" customWidth="1" outlineLevel="1"/>
    <col min="10" max="10" width="15.3984375" style="33" hidden="1" customWidth="1" outlineLevel="1"/>
    <col min="11" max="11" width="25" style="32" hidden="1" customWidth="1" outlineLevel="1"/>
    <col min="12" max="12" width="19" style="32" hidden="1" customWidth="1" outlineLevel="1"/>
    <col min="13" max="13" width="15.3984375" style="33" hidden="1" customWidth="1" outlineLevel="1"/>
    <col min="14" max="14" width="16.69921875" style="32" hidden="1" customWidth="1" outlineLevel="1"/>
    <col min="15" max="15" width="17.19921875" style="32" hidden="1" customWidth="1" outlineLevel="1"/>
    <col min="16" max="16" width="15.3984375" style="33" hidden="1" customWidth="1" outlineLevel="1" collapsed="1"/>
    <col min="17" max="17" width="14.19921875" style="32" hidden="1" customWidth="1" outlineLevel="1"/>
    <col min="18" max="18" width="15.796875" style="32" customWidth="1" collapsed="1"/>
    <col min="19" max="19" width="13.19921875" style="32" customWidth="1"/>
    <col min="20" max="20" width="15.19921875" style="32" customWidth="1"/>
    <col min="21" max="21" width="16.09765625" style="28" customWidth="1"/>
    <col min="22" max="22" width="16.09765625" style="32" customWidth="1"/>
    <col min="23" max="23" width="12.3984375" style="32" customWidth="1"/>
    <col min="24" max="24" width="14" style="32" customWidth="1"/>
    <col min="25" max="27" width="12.3984375" style="32" customWidth="1"/>
    <col min="28" max="28" width="12.09765625" style="32" customWidth="1"/>
    <col min="29" max="29" width="8.8984375" style="32"/>
    <col min="30" max="30" width="9.8984375" style="32" bestFit="1" customWidth="1"/>
    <col min="31" max="16384" width="8.8984375" style="32"/>
  </cols>
  <sheetData>
    <row r="1" spans="1:50" ht="43.2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30"/>
      <c r="K1" s="29"/>
      <c r="L1" s="29"/>
      <c r="M1" s="30"/>
      <c r="N1" s="29"/>
      <c r="O1" s="29"/>
      <c r="P1" s="30"/>
      <c r="Q1" s="29"/>
      <c r="R1" s="29"/>
      <c r="S1" s="29"/>
      <c r="T1" s="31"/>
      <c r="U1" s="29"/>
      <c r="V1" s="29"/>
      <c r="W1" s="29"/>
      <c r="X1" s="29"/>
      <c r="Y1" s="29"/>
      <c r="Z1" s="29"/>
      <c r="AA1" s="29"/>
      <c r="AB1" s="29"/>
      <c r="AC1" s="29"/>
    </row>
    <row r="2" spans="1:50" ht="29.4" customHeight="1" x14ac:dyDescent="0.25">
      <c r="A2" s="29"/>
      <c r="B2" s="29"/>
      <c r="C2" s="29"/>
      <c r="D2" s="29"/>
      <c r="E2" s="29"/>
      <c r="F2" s="29"/>
      <c r="G2" s="29"/>
      <c r="H2" s="29"/>
      <c r="I2" s="29"/>
      <c r="J2" s="30"/>
      <c r="K2" s="29"/>
      <c r="L2" s="29"/>
      <c r="M2" s="30"/>
      <c r="N2" s="29"/>
      <c r="O2" s="29"/>
      <c r="P2" s="30"/>
      <c r="Q2" s="29"/>
      <c r="R2" s="29"/>
      <c r="S2" s="29"/>
      <c r="T2" s="31"/>
      <c r="U2" s="29"/>
      <c r="V2" s="29"/>
      <c r="W2" s="29"/>
      <c r="X2" s="29"/>
      <c r="Y2" s="29"/>
      <c r="Z2" s="29"/>
      <c r="AA2" s="29"/>
      <c r="AB2" s="29"/>
      <c r="AC2" s="29"/>
    </row>
    <row r="3" spans="1:50" ht="21.6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30"/>
      <c r="K3" s="29"/>
      <c r="L3" s="29"/>
      <c r="M3" s="30"/>
      <c r="N3" s="29"/>
      <c r="O3" s="29"/>
      <c r="P3" s="30"/>
      <c r="Q3" s="29"/>
      <c r="R3" s="29"/>
      <c r="S3" s="29"/>
      <c r="T3" s="31"/>
      <c r="U3" s="29"/>
      <c r="V3" s="29"/>
      <c r="W3" s="29"/>
      <c r="X3" s="29"/>
      <c r="Y3" s="29"/>
      <c r="Z3" s="29"/>
      <c r="AA3" s="29"/>
      <c r="AB3" s="29"/>
      <c r="AC3" s="29"/>
    </row>
    <row r="4" spans="1:50" ht="28.2" customHeight="1" x14ac:dyDescent="0.25">
      <c r="A4" s="29"/>
      <c r="B4" s="29"/>
      <c r="C4" s="29"/>
      <c r="D4" s="29"/>
      <c r="E4" s="29"/>
      <c r="F4" s="29"/>
      <c r="G4" s="29"/>
      <c r="H4" s="29"/>
      <c r="I4" s="29"/>
      <c r="J4" s="30"/>
      <c r="K4" s="29"/>
      <c r="L4" s="29"/>
      <c r="M4" s="30"/>
      <c r="N4" s="29"/>
      <c r="O4" s="29"/>
      <c r="P4" s="30"/>
      <c r="Q4" s="29"/>
      <c r="R4" s="29"/>
      <c r="S4" s="29"/>
      <c r="T4" s="31"/>
      <c r="U4" s="29"/>
      <c r="V4" s="29"/>
      <c r="W4" s="29"/>
      <c r="X4" s="29"/>
      <c r="Y4" s="29"/>
      <c r="Z4" s="29"/>
      <c r="AA4" s="29"/>
      <c r="AB4" s="29"/>
      <c r="AC4" s="29"/>
    </row>
    <row r="5" spans="1:50" ht="23.4" customHeight="1" x14ac:dyDescent="0.25">
      <c r="G5" s="32"/>
      <c r="T5" s="28"/>
      <c r="U5" s="32"/>
    </row>
    <row r="6" spans="1:50" ht="46.8" customHeight="1" x14ac:dyDescent="0.25">
      <c r="G6" s="32"/>
      <c r="T6" s="28"/>
      <c r="U6" s="32"/>
    </row>
    <row r="7" spans="1:50" s="34" customFormat="1" ht="31.8" customHeight="1" thickBot="1" x14ac:dyDescent="0.3">
      <c r="B7" s="35" t="s">
        <v>0</v>
      </c>
      <c r="C7" s="35" t="s">
        <v>2</v>
      </c>
      <c r="D7" s="36" t="s">
        <v>6</v>
      </c>
      <c r="E7" s="36" t="s">
        <v>7</v>
      </c>
      <c r="F7" s="36" t="s">
        <v>8</v>
      </c>
      <c r="G7" s="36" t="s">
        <v>3</v>
      </c>
      <c r="H7" s="37" t="s">
        <v>98</v>
      </c>
      <c r="I7" s="35" t="s">
        <v>137</v>
      </c>
      <c r="J7" s="35" t="s">
        <v>149</v>
      </c>
      <c r="K7" s="38" t="s">
        <v>150</v>
      </c>
      <c r="L7" s="35" t="s">
        <v>138</v>
      </c>
      <c r="M7" s="35" t="s">
        <v>151</v>
      </c>
      <c r="N7" s="38" t="s">
        <v>152</v>
      </c>
      <c r="O7" s="35" t="s">
        <v>139</v>
      </c>
      <c r="P7" s="35" t="s">
        <v>153</v>
      </c>
      <c r="Q7" s="38" t="s">
        <v>154</v>
      </c>
      <c r="R7" s="35" t="s">
        <v>142</v>
      </c>
      <c r="S7" s="35" t="s">
        <v>4</v>
      </c>
      <c r="T7" s="35" t="s">
        <v>5</v>
      </c>
      <c r="U7" s="38" t="s">
        <v>140</v>
      </c>
      <c r="V7" s="35" t="s">
        <v>1</v>
      </c>
      <c r="W7" s="35" t="s">
        <v>141</v>
      </c>
      <c r="X7" s="35" t="s">
        <v>143</v>
      </c>
      <c r="Y7" s="35" t="s">
        <v>148</v>
      </c>
      <c r="Z7" s="35" t="s">
        <v>145</v>
      </c>
      <c r="AA7" s="35" t="s">
        <v>146</v>
      </c>
      <c r="AB7" s="35" t="s">
        <v>147</v>
      </c>
    </row>
    <row r="8" spans="1:50" x14ac:dyDescent="0.25">
      <c r="B8" s="32" t="s">
        <v>67</v>
      </c>
      <c r="C8" s="32" t="s">
        <v>83</v>
      </c>
      <c r="D8" s="39" t="s">
        <v>60</v>
      </c>
      <c r="E8" s="39" t="s">
        <v>61</v>
      </c>
      <c r="F8" s="39" t="s">
        <v>57</v>
      </c>
      <c r="G8" s="39" t="s">
        <v>115</v>
      </c>
      <c r="H8" s="65">
        <v>0.2</v>
      </c>
      <c r="I8" s="26" t="s">
        <v>227</v>
      </c>
      <c r="J8" s="27" t="s">
        <v>211</v>
      </c>
      <c r="K8" s="28">
        <v>3500</v>
      </c>
      <c r="L8" s="26"/>
      <c r="M8" s="26"/>
      <c r="N8" s="28"/>
      <c r="O8" s="26"/>
      <c r="P8" s="26"/>
      <c r="Q8" s="28"/>
      <c r="R8" s="6">
        <f>InvoiceTable[[#This Row],[Amount Line 1]]+InvoiceTable[[#This Row],[Amount Line 2]]+InvoiceTable[[#This Row],[Amount Line 3]]</f>
        <v>3500</v>
      </c>
      <c r="S8" s="41">
        <v>281.8</v>
      </c>
      <c r="T8" s="40">
        <f>InvoiceTable[[#This Row],[Agreed Amount Total]]+InvoiceTable[[#This Row],[Additional Expenses]]</f>
        <v>3781.8</v>
      </c>
      <c r="U8" s="40">
        <f>InvoiceTable[[#This Row],[Net Amount]]+InvoiceTable[[#This Row],[VAT to Pay]]</f>
        <v>4538.16</v>
      </c>
      <c r="V8" s="49">
        <v>15040</v>
      </c>
      <c r="W8" s="42">
        <v>44265</v>
      </c>
      <c r="X8" s="82">
        <f>IF(InvoiceTable[[#This Row],[Invoice Date]]="","",WORKDAY(InvoiceTable[[#This Row],[Invoice Date]],14))</f>
        <v>44285</v>
      </c>
      <c r="Y8" s="26" t="s">
        <v>144</v>
      </c>
      <c r="Z8" s="83">
        <v>44280</v>
      </c>
      <c r="AA8" s="40">
        <f>InvoiceTable[[#This Row],[Net Amount]]*InvoiceTable[[#This Row],[VAT]]</f>
        <v>756.36000000000013</v>
      </c>
      <c r="AB8" s="40">
        <f t="shared" ref="AB8:AB12" si="0">R8*0.5</f>
        <v>1750</v>
      </c>
      <c r="AC8" s="26"/>
      <c r="AD8" s="43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</row>
    <row r="9" spans="1:50" x14ac:dyDescent="0.25">
      <c r="B9" s="32" t="s">
        <v>46</v>
      </c>
      <c r="C9" s="44" t="s">
        <v>13</v>
      </c>
      <c r="D9" s="39" t="s">
        <v>34</v>
      </c>
      <c r="E9" s="39" t="s">
        <v>33</v>
      </c>
      <c r="F9" s="39" t="s">
        <v>32</v>
      </c>
      <c r="G9" s="39"/>
      <c r="H9" s="65">
        <v>0</v>
      </c>
      <c r="I9" s="26" t="s">
        <v>228</v>
      </c>
      <c r="J9" s="27" t="s">
        <v>212</v>
      </c>
      <c r="K9" s="28">
        <v>3500</v>
      </c>
      <c r="L9" s="26"/>
      <c r="M9" s="26"/>
      <c r="N9" s="28"/>
      <c r="O9" s="26"/>
      <c r="P9" s="26"/>
      <c r="Q9" s="28"/>
      <c r="R9" s="6">
        <f>InvoiceTable[[#This Row],[Amount Line 1]]+InvoiceTable[[#This Row],[Amount Line 2]]+InvoiceTable[[#This Row],[Amount Line 3]]</f>
        <v>3500</v>
      </c>
      <c r="S9" s="41">
        <v>261.25</v>
      </c>
      <c r="T9" s="40">
        <f>InvoiceTable[[#This Row],[Agreed Amount Total]]+InvoiceTable[[#This Row],[Additional Expenses]]</f>
        <v>3761.25</v>
      </c>
      <c r="U9" s="40">
        <f>InvoiceTable[[#This Row],[Net Amount]]+InvoiceTable[[#This Row],[VAT to Pay]]</f>
        <v>3761.25</v>
      </c>
      <c r="V9" s="49">
        <v>15041</v>
      </c>
      <c r="W9" s="42">
        <v>44265</v>
      </c>
      <c r="X9" s="82">
        <f>IF(InvoiceTable[[#This Row],[Invoice Date]]="","",WORKDAY(InvoiceTable[[#This Row],[Invoice Date]],14))</f>
        <v>44285</v>
      </c>
      <c r="Y9" s="26" t="s">
        <v>144</v>
      </c>
      <c r="Z9" s="83">
        <v>44280</v>
      </c>
      <c r="AA9" s="40">
        <f>InvoiceTable[[#This Row],[Net Amount]]*InvoiceTable[[#This Row],[VAT]]</f>
        <v>0</v>
      </c>
      <c r="AB9" s="40">
        <f t="shared" si="0"/>
        <v>1750</v>
      </c>
      <c r="AC9" s="26"/>
      <c r="AD9" s="43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</row>
    <row r="10" spans="1:50" x14ac:dyDescent="0.25">
      <c r="B10" s="32" t="s">
        <v>44</v>
      </c>
      <c r="C10" s="44" t="s">
        <v>10</v>
      </c>
      <c r="D10" s="39" t="s">
        <v>25</v>
      </c>
      <c r="E10" s="39" t="s">
        <v>26</v>
      </c>
      <c r="F10" s="39" t="s">
        <v>27</v>
      </c>
      <c r="G10" s="39"/>
      <c r="H10" s="66">
        <v>0</v>
      </c>
      <c r="I10" s="26" t="s">
        <v>230</v>
      </c>
      <c r="J10" s="27" t="s">
        <v>213</v>
      </c>
      <c r="K10" s="28">
        <v>43090</v>
      </c>
      <c r="L10" s="26"/>
      <c r="M10" s="26"/>
      <c r="N10" s="28"/>
      <c r="O10" s="26"/>
      <c r="P10" s="26"/>
      <c r="Q10" s="28"/>
      <c r="R10" s="6">
        <f>InvoiceTable[[#This Row],[Amount Line 1]]+InvoiceTable[[#This Row],[Amount Line 2]]+InvoiceTable[[#This Row],[Amount Line 3]]</f>
        <v>43090</v>
      </c>
      <c r="S10" s="41">
        <v>0</v>
      </c>
      <c r="T10" s="40">
        <f>InvoiceTable[[#This Row],[Agreed Amount Total]]+InvoiceTable[[#This Row],[Additional Expenses]]</f>
        <v>43090</v>
      </c>
      <c r="U10" s="40">
        <f>InvoiceTable[[#This Row],[Net Amount]]+InvoiceTable[[#This Row],[VAT to Pay]]</f>
        <v>43090</v>
      </c>
      <c r="V10" s="49">
        <v>15042</v>
      </c>
      <c r="W10" s="42">
        <v>44278</v>
      </c>
      <c r="X10" s="82">
        <f>IF(InvoiceTable[[#This Row],[Invoice Date]]="","",WORKDAY(InvoiceTable[[#This Row],[Invoice Date]],14))</f>
        <v>44298</v>
      </c>
      <c r="Y10" s="26" t="s">
        <v>144</v>
      </c>
      <c r="Z10" s="83">
        <v>44294</v>
      </c>
      <c r="AA10" s="40">
        <f>InvoiceTable[[#This Row],[Net Amount]]*InvoiceTable[[#This Row],[VAT]]</f>
        <v>0</v>
      </c>
      <c r="AB10" s="40">
        <f t="shared" si="0"/>
        <v>21545</v>
      </c>
      <c r="AC10" s="26"/>
      <c r="AD10" s="43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</row>
    <row r="11" spans="1:50" ht="27.6" x14ac:dyDescent="0.25">
      <c r="B11" s="32" t="s">
        <v>63</v>
      </c>
      <c r="C11" s="32" t="s">
        <v>80</v>
      </c>
      <c r="D11" s="39" t="s">
        <v>60</v>
      </c>
      <c r="E11" s="39" t="s">
        <v>61</v>
      </c>
      <c r="F11" s="39" t="s">
        <v>57</v>
      </c>
      <c r="G11" s="39" t="s">
        <v>111</v>
      </c>
      <c r="H11" s="65">
        <v>0.2</v>
      </c>
      <c r="I11" s="26" t="s">
        <v>231</v>
      </c>
      <c r="J11" s="27" t="s">
        <v>214</v>
      </c>
      <c r="K11" s="28">
        <v>4500</v>
      </c>
      <c r="L11" s="26"/>
      <c r="M11" s="26"/>
      <c r="N11" s="28"/>
      <c r="O11" s="26"/>
      <c r="P11" s="26"/>
      <c r="Q11" s="28"/>
      <c r="R11" s="6">
        <f>InvoiceTable[[#This Row],[Amount Line 1]]+InvoiceTable[[#This Row],[Amount Line 2]]+InvoiceTable[[#This Row],[Amount Line 3]]</f>
        <v>4500</v>
      </c>
      <c r="S11" s="41">
        <v>0</v>
      </c>
      <c r="T11" s="40">
        <f>InvoiceTable[[#This Row],[Agreed Amount Total]]+InvoiceTable[[#This Row],[Additional Expenses]]</f>
        <v>4500</v>
      </c>
      <c r="U11" s="40">
        <f>InvoiceTable[[#This Row],[Net Amount]]+InvoiceTable[[#This Row],[VAT to Pay]]</f>
        <v>5400</v>
      </c>
      <c r="V11" s="49">
        <v>15043</v>
      </c>
      <c r="W11" s="42">
        <v>44278</v>
      </c>
      <c r="X11" s="82">
        <f>IF(InvoiceTable[[#This Row],[Invoice Date]]="","",WORKDAY(InvoiceTable[[#This Row],[Invoice Date]],14))</f>
        <v>44298</v>
      </c>
      <c r="Y11" s="26" t="s">
        <v>144</v>
      </c>
      <c r="Z11" s="83">
        <v>44294</v>
      </c>
      <c r="AA11" s="40">
        <f>InvoiceTable[[#This Row],[Net Amount]]*InvoiceTable[[#This Row],[VAT]]</f>
        <v>900</v>
      </c>
      <c r="AB11" s="40">
        <f t="shared" si="0"/>
        <v>2250</v>
      </c>
      <c r="AC11" s="26"/>
      <c r="AD11" s="43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</row>
    <row r="12" spans="1:50" ht="27.6" x14ac:dyDescent="0.25">
      <c r="B12" s="32" t="s">
        <v>65</v>
      </c>
      <c r="C12" s="32" t="s">
        <v>82</v>
      </c>
      <c r="D12" s="39" t="s">
        <v>60</v>
      </c>
      <c r="E12" s="39" t="s">
        <v>61</v>
      </c>
      <c r="F12" s="39" t="s">
        <v>57</v>
      </c>
      <c r="G12" s="39" t="s">
        <v>108</v>
      </c>
      <c r="H12" s="65">
        <v>0.2</v>
      </c>
      <c r="I12" s="26" t="s">
        <v>232</v>
      </c>
      <c r="J12" s="27" t="s">
        <v>215</v>
      </c>
      <c r="K12" s="28">
        <v>2100</v>
      </c>
      <c r="L12" s="26"/>
      <c r="M12" s="26"/>
      <c r="N12" s="28"/>
      <c r="O12" s="26"/>
      <c r="P12" s="26"/>
      <c r="Q12" s="28"/>
      <c r="R12" s="6">
        <f>InvoiceTable[[#This Row],[Amount Line 1]]+InvoiceTable[[#This Row],[Amount Line 2]]+InvoiceTable[[#This Row],[Amount Line 3]]</f>
        <v>2100</v>
      </c>
      <c r="S12" s="41">
        <v>0</v>
      </c>
      <c r="T12" s="40">
        <f>InvoiceTable[[#This Row],[Agreed Amount Total]]+InvoiceTable[[#This Row],[Additional Expenses]]</f>
        <v>2100</v>
      </c>
      <c r="U12" s="40">
        <f>InvoiceTable[[#This Row],[Net Amount]]+InvoiceTable[[#This Row],[VAT to Pay]]</f>
        <v>2520</v>
      </c>
      <c r="V12" s="49">
        <v>15044</v>
      </c>
      <c r="W12" s="42">
        <v>44278</v>
      </c>
      <c r="X12" s="82">
        <f>IF(InvoiceTable[[#This Row],[Invoice Date]]="","",WORKDAY(InvoiceTable[[#This Row],[Invoice Date]],14))</f>
        <v>44298</v>
      </c>
      <c r="Y12" s="26" t="s">
        <v>144</v>
      </c>
      <c r="Z12" s="83">
        <v>44306</v>
      </c>
      <c r="AA12" s="40">
        <f>InvoiceTable[[#This Row],[Net Amount]]*InvoiceTable[[#This Row],[VAT]]</f>
        <v>420</v>
      </c>
      <c r="AB12" s="40">
        <f t="shared" si="0"/>
        <v>1050</v>
      </c>
      <c r="AC12" s="26"/>
      <c r="AD12" s="43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</row>
    <row r="13" spans="1:50" x14ac:dyDescent="0.25">
      <c r="B13" s="32" t="s">
        <v>122</v>
      </c>
      <c r="C13" s="44" t="s">
        <v>12</v>
      </c>
      <c r="D13" s="39" t="s">
        <v>31</v>
      </c>
      <c r="E13" s="39" t="s">
        <v>33</v>
      </c>
      <c r="F13" s="39" t="s">
        <v>32</v>
      </c>
      <c r="G13" s="39"/>
      <c r="H13" s="65">
        <v>0</v>
      </c>
      <c r="I13" s="26" t="s">
        <v>233</v>
      </c>
      <c r="J13" s="27" t="s">
        <v>216</v>
      </c>
      <c r="K13" s="28">
        <v>3750</v>
      </c>
      <c r="L13" s="26"/>
      <c r="M13" s="26"/>
      <c r="N13" s="28"/>
      <c r="O13" s="26"/>
      <c r="P13" s="26"/>
      <c r="Q13" s="28"/>
      <c r="R13" s="6">
        <f>InvoiceTable[[#This Row],[Amount Line 1]]+InvoiceTable[[#This Row],[Amount Line 2]]+InvoiceTable[[#This Row],[Amount Line 3]]</f>
        <v>3750</v>
      </c>
      <c r="S13" s="41">
        <v>0</v>
      </c>
      <c r="T13" s="40">
        <f>InvoiceTable[[#This Row],[Agreed Amount Total]]+InvoiceTable[[#This Row],[Additional Expenses]]</f>
        <v>3750</v>
      </c>
      <c r="U13" s="40">
        <f>InvoiceTable[[#This Row],[Net Amount]]+InvoiceTable[[#This Row],[VAT to Pay]]</f>
        <v>3750</v>
      </c>
      <c r="V13" s="49">
        <v>15045</v>
      </c>
      <c r="W13" s="42">
        <v>44287</v>
      </c>
      <c r="X13" s="82">
        <f>IF(InvoiceTable[[#This Row],[Invoice Date]]="","",WORKDAY(InvoiceTable[[#This Row],[Invoice Date]],14))</f>
        <v>44307</v>
      </c>
      <c r="Y13" s="26" t="s">
        <v>144</v>
      </c>
      <c r="Z13" s="83">
        <v>44306</v>
      </c>
      <c r="AA13" s="40">
        <f>InvoiceTable[[#This Row],[Net Amount]]*InvoiceTable[[#This Row],[VAT]]</f>
        <v>0</v>
      </c>
      <c r="AB13" s="40">
        <f t="shared" ref="AB13" si="1">R13*0.5</f>
        <v>1875</v>
      </c>
      <c r="AC13" s="26"/>
      <c r="AD13" s="43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</row>
    <row r="14" spans="1:50" x14ac:dyDescent="0.25">
      <c r="B14" s="45" t="s">
        <v>156</v>
      </c>
      <c r="C14" s="46" t="s">
        <v>87</v>
      </c>
      <c r="D14" s="47" t="s">
        <v>22</v>
      </c>
      <c r="E14" s="47" t="s">
        <v>23</v>
      </c>
      <c r="F14" s="47" t="s">
        <v>24</v>
      </c>
      <c r="G14" s="47"/>
      <c r="H14" s="67">
        <v>0</v>
      </c>
      <c r="I14" s="26" t="s">
        <v>234</v>
      </c>
      <c r="J14" s="27" t="s">
        <v>217</v>
      </c>
      <c r="K14" s="28">
        <v>5500</v>
      </c>
      <c r="L14" s="26"/>
      <c r="M14" s="26"/>
      <c r="N14" s="28"/>
      <c r="O14" s="26"/>
      <c r="P14" s="26"/>
      <c r="Q14" s="28"/>
      <c r="R14" s="6">
        <f>InvoiceTable[[#This Row],[Amount Line 1]]+InvoiceTable[[#This Row],[Amount Line 2]]+InvoiceTable[[#This Row],[Amount Line 3]]</f>
        <v>5500</v>
      </c>
      <c r="S14" s="41">
        <v>5189.0677075471694</v>
      </c>
      <c r="T14" s="40">
        <f>InvoiceTable[[#This Row],[Agreed Amount Total]]+InvoiceTable[[#This Row],[Additional Expenses]]</f>
        <v>10689.067707547169</v>
      </c>
      <c r="U14" s="40">
        <f>InvoiceTable[[#This Row],[Net Amount]]+InvoiceTable[[#This Row],[VAT to Pay]]</f>
        <v>10689.067707547169</v>
      </c>
      <c r="V14" s="49">
        <v>15046</v>
      </c>
      <c r="W14" s="42">
        <v>44299</v>
      </c>
      <c r="X14" s="82">
        <f>IF(InvoiceTable[[#This Row],[Invoice Date]]="","",WORKDAY(InvoiceTable[[#This Row],[Invoice Date]],14))</f>
        <v>44319</v>
      </c>
      <c r="Y14" s="26" t="s">
        <v>144</v>
      </c>
      <c r="Z14" s="83">
        <v>44306</v>
      </c>
      <c r="AA14" s="40">
        <f>InvoiceTable[[#This Row],[Net Amount]]*InvoiceTable[[#This Row],[VAT]]</f>
        <v>0</v>
      </c>
      <c r="AB14" s="40"/>
      <c r="AC14" s="26"/>
      <c r="AD14" s="43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</row>
    <row r="15" spans="1:50" x14ac:dyDescent="0.25">
      <c r="B15" s="45" t="s">
        <v>124</v>
      </c>
      <c r="C15" s="46" t="s">
        <v>18</v>
      </c>
      <c r="D15" s="47" t="s">
        <v>91</v>
      </c>
      <c r="E15" s="47" t="s">
        <v>92</v>
      </c>
      <c r="F15" s="47" t="s">
        <v>99</v>
      </c>
      <c r="G15" s="47" t="s">
        <v>120</v>
      </c>
      <c r="H15" s="67">
        <v>0.2</v>
      </c>
      <c r="I15" s="26" t="s">
        <v>229</v>
      </c>
      <c r="J15" s="27" t="s">
        <v>218</v>
      </c>
      <c r="K15" s="28">
        <v>2000</v>
      </c>
      <c r="L15" s="26"/>
      <c r="M15" s="26"/>
      <c r="N15" s="28"/>
      <c r="O15" s="26"/>
      <c r="P15" s="26"/>
      <c r="Q15" s="28"/>
      <c r="R15" s="6">
        <f>InvoiceTable[[#This Row],[Amount Line 1]]+InvoiceTable[[#This Row],[Amount Line 2]]+InvoiceTable[[#This Row],[Amount Line 3]]</f>
        <v>2000</v>
      </c>
      <c r="S15" s="41">
        <v>738.21</v>
      </c>
      <c r="T15" s="40">
        <f>InvoiceTable[[#This Row],[Agreed Amount Total]]+InvoiceTable[[#This Row],[Additional Expenses]]</f>
        <v>2738.21</v>
      </c>
      <c r="U15" s="40">
        <f>InvoiceTable[[#This Row],[Net Amount]]+InvoiceTable[[#This Row],[VAT to Pay]]</f>
        <v>3285.8519999999999</v>
      </c>
      <c r="V15" s="49">
        <v>15047</v>
      </c>
      <c r="W15" s="42">
        <v>44299</v>
      </c>
      <c r="X15" s="82">
        <f>IF(InvoiceTable[[#This Row],[Invoice Date]]="","",WORKDAY(InvoiceTable[[#This Row],[Invoice Date]],14))</f>
        <v>44319</v>
      </c>
      <c r="Y15" s="26" t="s">
        <v>144</v>
      </c>
      <c r="Z15" s="83">
        <v>44309</v>
      </c>
      <c r="AA15" s="40">
        <f>InvoiceTable[[#This Row],[Net Amount]]*InvoiceTable[[#This Row],[VAT]]</f>
        <v>547.64200000000005</v>
      </c>
      <c r="AB15" s="40">
        <f t="shared" ref="AB15:AB22" si="2">R15*0.5</f>
        <v>1000</v>
      </c>
      <c r="AC15" s="26"/>
      <c r="AD15" s="43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</row>
    <row r="16" spans="1:50" x14ac:dyDescent="0.25">
      <c r="B16" s="45" t="s">
        <v>122</v>
      </c>
      <c r="C16" s="45" t="s">
        <v>12</v>
      </c>
      <c r="D16" s="47" t="s">
        <v>31</v>
      </c>
      <c r="E16" s="47" t="s">
        <v>33</v>
      </c>
      <c r="F16" s="47" t="s">
        <v>32</v>
      </c>
      <c r="G16" s="47"/>
      <c r="H16" s="67">
        <v>0</v>
      </c>
      <c r="I16" s="26" t="s">
        <v>235</v>
      </c>
      <c r="J16" s="27">
        <v>42469</v>
      </c>
      <c r="K16" s="28">
        <v>840</v>
      </c>
      <c r="L16" s="26"/>
      <c r="M16" s="26"/>
      <c r="N16" s="28"/>
      <c r="O16" s="26"/>
      <c r="P16" s="26"/>
      <c r="Q16" s="28"/>
      <c r="R16" s="6">
        <f>InvoiceTable[[#This Row],[Amount Line 1]]+InvoiceTable[[#This Row],[Amount Line 2]]+InvoiceTable[[#This Row],[Amount Line 3]]</f>
        <v>840</v>
      </c>
      <c r="S16" s="41">
        <v>0</v>
      </c>
      <c r="T16" s="40">
        <f>InvoiceTable[[#This Row],[Agreed Amount Total]]+InvoiceTable[[#This Row],[Additional Expenses]]</f>
        <v>840</v>
      </c>
      <c r="U16" s="40">
        <f>InvoiceTable[[#This Row],[Net Amount]]+InvoiceTable[[#This Row],[VAT to Pay]]</f>
        <v>840</v>
      </c>
      <c r="V16" s="49">
        <v>15048</v>
      </c>
      <c r="W16" s="42">
        <v>44313</v>
      </c>
      <c r="X16" s="82">
        <f>IF(InvoiceTable[[#This Row],[Invoice Date]]="","",WORKDAY(InvoiceTable[[#This Row],[Invoice Date]],14))</f>
        <v>44333</v>
      </c>
      <c r="Y16" s="26" t="s">
        <v>144</v>
      </c>
      <c r="Z16" s="83">
        <v>44324</v>
      </c>
      <c r="AA16" s="40">
        <f>InvoiceTable[[#This Row],[Net Amount]]*InvoiceTable[[#This Row],[VAT]]</f>
        <v>0</v>
      </c>
      <c r="AB16" s="40">
        <f t="shared" si="2"/>
        <v>420</v>
      </c>
      <c r="AC16" s="26"/>
      <c r="AD16" s="43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</row>
    <row r="17" spans="2:50" x14ac:dyDescent="0.25">
      <c r="B17" s="26" t="s">
        <v>44</v>
      </c>
      <c r="C17" s="26" t="s">
        <v>10</v>
      </c>
      <c r="D17" s="48" t="s">
        <v>25</v>
      </c>
      <c r="E17" s="48" t="s">
        <v>26</v>
      </c>
      <c r="F17" s="48" t="s">
        <v>27</v>
      </c>
      <c r="G17" s="48"/>
      <c r="H17" s="66">
        <v>0</v>
      </c>
      <c r="I17" s="26" t="s">
        <v>236</v>
      </c>
      <c r="J17" s="27" t="s">
        <v>219</v>
      </c>
      <c r="K17" s="28">
        <v>1680</v>
      </c>
      <c r="L17" s="26"/>
      <c r="M17" s="26"/>
      <c r="N17" s="28"/>
      <c r="O17" s="26"/>
      <c r="P17" s="26"/>
      <c r="Q17" s="28"/>
      <c r="R17" s="6">
        <f>InvoiceTable[[#This Row],[Amount Line 1]]+InvoiceTable[[#This Row],[Amount Line 2]]+InvoiceTable[[#This Row],[Amount Line 3]]</f>
        <v>1680</v>
      </c>
      <c r="S17" s="41">
        <v>0</v>
      </c>
      <c r="T17" s="40">
        <f>InvoiceTable[[#This Row],[Agreed Amount Total]]+InvoiceTable[[#This Row],[Additional Expenses]]</f>
        <v>1680</v>
      </c>
      <c r="U17" s="40">
        <f>InvoiceTable[[#This Row],[Net Amount]]+InvoiceTable[[#This Row],[VAT to Pay]]</f>
        <v>1680</v>
      </c>
      <c r="V17" s="49">
        <v>15049</v>
      </c>
      <c r="W17" s="42">
        <v>44313</v>
      </c>
      <c r="X17" s="82">
        <f>IF(InvoiceTable[[#This Row],[Invoice Date]]="","",WORKDAY(InvoiceTable[[#This Row],[Invoice Date]],14))</f>
        <v>44333</v>
      </c>
      <c r="Y17" s="26" t="s">
        <v>144</v>
      </c>
      <c r="Z17" s="83">
        <v>44327</v>
      </c>
      <c r="AA17" s="40">
        <f>InvoiceTable[[#This Row],[Net Amount]]*InvoiceTable[[#This Row],[VAT]]</f>
        <v>0</v>
      </c>
      <c r="AB17" s="40">
        <f t="shared" si="2"/>
        <v>840</v>
      </c>
      <c r="AC17" s="26"/>
      <c r="AD17" s="43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</row>
    <row r="18" spans="2:50" x14ac:dyDescent="0.25">
      <c r="B18" s="26" t="s">
        <v>46</v>
      </c>
      <c r="C18" s="26" t="s">
        <v>13</v>
      </c>
      <c r="D18" s="48" t="s">
        <v>34</v>
      </c>
      <c r="E18" s="48" t="s">
        <v>33</v>
      </c>
      <c r="F18" s="48" t="s">
        <v>32</v>
      </c>
      <c r="G18" s="48"/>
      <c r="H18" s="66">
        <v>0</v>
      </c>
      <c r="I18" s="26" t="s">
        <v>237</v>
      </c>
      <c r="J18" s="27" t="s">
        <v>220</v>
      </c>
      <c r="K18" s="28">
        <v>1680</v>
      </c>
      <c r="L18" s="26"/>
      <c r="M18" s="26"/>
      <c r="N18" s="28"/>
      <c r="O18" s="26"/>
      <c r="P18" s="26"/>
      <c r="Q18" s="28"/>
      <c r="R18" s="6">
        <f>InvoiceTable[[#This Row],[Amount Line 1]]+InvoiceTable[[#This Row],[Amount Line 2]]+InvoiceTable[[#This Row],[Amount Line 3]]</f>
        <v>1680</v>
      </c>
      <c r="S18" s="41">
        <v>0</v>
      </c>
      <c r="T18" s="40">
        <f>InvoiceTable[[#This Row],[Agreed Amount Total]]+InvoiceTable[[#This Row],[Additional Expenses]]</f>
        <v>1680</v>
      </c>
      <c r="U18" s="40">
        <f>InvoiceTable[[#This Row],[Net Amount]]+InvoiceTable[[#This Row],[VAT to Pay]]</f>
        <v>1680</v>
      </c>
      <c r="V18" s="49">
        <v>15050</v>
      </c>
      <c r="W18" s="42">
        <v>44320</v>
      </c>
      <c r="X18" s="82">
        <f>IF(InvoiceTable[[#This Row],[Invoice Date]]="","",WORKDAY(InvoiceTable[[#This Row],[Invoice Date]],14))</f>
        <v>44340</v>
      </c>
      <c r="Y18" s="26" t="s">
        <v>144</v>
      </c>
      <c r="Z18" s="83">
        <v>44331</v>
      </c>
      <c r="AA18" s="40">
        <f>InvoiceTable[[#This Row],[Net Amount]]*InvoiceTable[[#This Row],[VAT]]</f>
        <v>0</v>
      </c>
      <c r="AB18" s="40">
        <f t="shared" si="2"/>
        <v>840</v>
      </c>
      <c r="AD18" s="43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</row>
    <row r="19" spans="2:50" x14ac:dyDescent="0.25">
      <c r="B19" s="45" t="s">
        <v>122</v>
      </c>
      <c r="C19" s="46" t="s">
        <v>12</v>
      </c>
      <c r="D19" s="47" t="s">
        <v>31</v>
      </c>
      <c r="E19" s="47" t="s">
        <v>33</v>
      </c>
      <c r="F19" s="47" t="s">
        <v>32</v>
      </c>
      <c r="G19" s="47"/>
      <c r="H19" s="67">
        <v>0</v>
      </c>
      <c r="I19" s="26" t="s">
        <v>238</v>
      </c>
      <c r="J19" s="27">
        <v>42503</v>
      </c>
      <c r="K19" s="28">
        <v>1680</v>
      </c>
      <c r="L19" s="26"/>
      <c r="M19" s="26"/>
      <c r="N19" s="28"/>
      <c r="O19" s="26"/>
      <c r="P19" s="26"/>
      <c r="Q19" s="28"/>
      <c r="R19" s="6">
        <f>InvoiceTable[[#This Row],[Amount Line 1]]+InvoiceTable[[#This Row],[Amount Line 2]]+InvoiceTable[[#This Row],[Amount Line 3]]</f>
        <v>1680</v>
      </c>
      <c r="S19" s="41">
        <v>0</v>
      </c>
      <c r="T19" s="40">
        <f>InvoiceTable[[#This Row],[Agreed Amount Total]]+InvoiceTable[[#This Row],[Additional Expenses]]</f>
        <v>1680</v>
      </c>
      <c r="U19" s="40">
        <f>InvoiceTable[[#This Row],[Net Amount]]+InvoiceTable[[#This Row],[VAT to Pay]]</f>
        <v>1680</v>
      </c>
      <c r="V19" s="49">
        <v>15051</v>
      </c>
      <c r="W19" s="42">
        <v>44336</v>
      </c>
      <c r="X19" s="82">
        <f>IF(InvoiceTable[[#This Row],[Invoice Date]]="","",WORKDAY(InvoiceTable[[#This Row],[Invoice Date]],14))</f>
        <v>44356</v>
      </c>
      <c r="Y19" s="26" t="s">
        <v>144</v>
      </c>
      <c r="Z19" s="83">
        <v>44356</v>
      </c>
      <c r="AA19" s="40">
        <f>InvoiceTable[[#This Row],[Net Amount]]*InvoiceTable[[#This Row],[VAT]]</f>
        <v>0</v>
      </c>
      <c r="AB19" s="40">
        <f>R19*0.5</f>
        <v>840</v>
      </c>
      <c r="AD19" s="43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</row>
    <row r="20" spans="2:50" x14ac:dyDescent="0.25">
      <c r="B20" s="45" t="s">
        <v>121</v>
      </c>
      <c r="C20" s="46" t="s">
        <v>15</v>
      </c>
      <c r="D20" s="47" t="s">
        <v>36</v>
      </c>
      <c r="E20" s="47" t="s">
        <v>37</v>
      </c>
      <c r="F20" s="47" t="s">
        <v>38</v>
      </c>
      <c r="G20" s="47"/>
      <c r="H20" s="67">
        <v>0</v>
      </c>
      <c r="I20" s="26" t="s">
        <v>239</v>
      </c>
      <c r="J20" s="27" t="s">
        <v>221</v>
      </c>
      <c r="K20" s="28">
        <v>4000</v>
      </c>
      <c r="L20" s="26"/>
      <c r="M20" s="26"/>
      <c r="N20" s="28"/>
      <c r="O20" s="26"/>
      <c r="P20" s="26"/>
      <c r="Q20" s="28"/>
      <c r="R20" s="6">
        <f>InvoiceTable[[#This Row],[Amount Line 1]]+InvoiceTable[[#This Row],[Amount Line 2]]+InvoiceTable[[#This Row],[Amount Line 3]]</f>
        <v>4000</v>
      </c>
      <c r="S20" s="41">
        <v>0</v>
      </c>
      <c r="T20" s="40">
        <f>InvoiceTable[[#This Row],[Agreed Amount Total]]+InvoiceTable[[#This Row],[Additional Expenses]]</f>
        <v>4000</v>
      </c>
      <c r="U20" s="40">
        <f>InvoiceTable[[#This Row],[Net Amount]]+InvoiceTable[[#This Row],[VAT to Pay]]</f>
        <v>4000</v>
      </c>
      <c r="V20" s="49">
        <v>15052</v>
      </c>
      <c r="W20" s="42">
        <v>44348</v>
      </c>
      <c r="X20" s="82">
        <f>IF(InvoiceTable[[#This Row],[Invoice Date]]="","",WORKDAY(InvoiceTable[[#This Row],[Invoice Date]],14))</f>
        <v>44368</v>
      </c>
      <c r="Y20" s="26" t="s">
        <v>144</v>
      </c>
      <c r="Z20" s="83">
        <v>44369</v>
      </c>
      <c r="AA20" s="40">
        <f>InvoiceTable[[#This Row],[Net Amount]]*InvoiceTable[[#This Row],[VAT]]</f>
        <v>0</v>
      </c>
      <c r="AB20" s="40">
        <f>R20*0.5</f>
        <v>2000</v>
      </c>
      <c r="AD20" s="43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</row>
    <row r="21" spans="2:50" ht="27.6" x14ac:dyDescent="0.25">
      <c r="B21" s="45" t="s">
        <v>46</v>
      </c>
      <c r="C21" s="46" t="s">
        <v>13</v>
      </c>
      <c r="D21" s="47" t="s">
        <v>34</v>
      </c>
      <c r="E21" s="47" t="s">
        <v>33</v>
      </c>
      <c r="F21" s="47" t="s">
        <v>32</v>
      </c>
      <c r="G21" s="47"/>
      <c r="H21" s="67">
        <v>0</v>
      </c>
      <c r="I21" s="26" t="s">
        <v>240</v>
      </c>
      <c r="J21" s="27" t="s">
        <v>222</v>
      </c>
      <c r="K21" s="28">
        <v>3000</v>
      </c>
      <c r="L21" s="26"/>
      <c r="M21" s="26"/>
      <c r="N21" s="28"/>
      <c r="O21" s="26"/>
      <c r="P21" s="26"/>
      <c r="Q21" s="28"/>
      <c r="R21" s="6">
        <f>InvoiceTable[[#This Row],[Amount Line 1]]+InvoiceTable[[#This Row],[Amount Line 2]]+InvoiceTable[[#This Row],[Amount Line 3]]</f>
        <v>3000</v>
      </c>
      <c r="S21" s="41">
        <v>0</v>
      </c>
      <c r="T21" s="40">
        <f>InvoiceTable[[#This Row],[Agreed Amount Total]]+InvoiceTable[[#This Row],[Additional Expenses]]</f>
        <v>3000</v>
      </c>
      <c r="U21" s="40">
        <f>InvoiceTable[[#This Row],[Net Amount]]+InvoiceTable[[#This Row],[VAT to Pay]]</f>
        <v>3000</v>
      </c>
      <c r="V21" s="49">
        <v>15053</v>
      </c>
      <c r="W21" s="42">
        <v>44369</v>
      </c>
      <c r="X21" s="82">
        <f>IF(InvoiceTable[[#This Row],[Invoice Date]]="","",WORKDAY(InvoiceTable[[#This Row],[Invoice Date]],14))</f>
        <v>44389</v>
      </c>
      <c r="Y21" s="26" t="s">
        <v>144</v>
      </c>
      <c r="Z21" s="83">
        <v>44398</v>
      </c>
      <c r="AA21" s="40">
        <f>InvoiceTable[[#This Row],[Net Amount]]*InvoiceTable[[#This Row],[VAT]]</f>
        <v>0</v>
      </c>
      <c r="AB21" s="40">
        <f>R21*0.5</f>
        <v>1500</v>
      </c>
      <c r="AD21" s="43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</row>
    <row r="22" spans="2:50" x14ac:dyDescent="0.25">
      <c r="B22" s="26" t="s">
        <v>48</v>
      </c>
      <c r="C22" s="26" t="s">
        <v>86</v>
      </c>
      <c r="D22" s="48" t="s">
        <v>39</v>
      </c>
      <c r="E22" s="48" t="s">
        <v>41</v>
      </c>
      <c r="F22" s="48" t="s">
        <v>40</v>
      </c>
      <c r="G22" s="48"/>
      <c r="H22" s="66">
        <v>0</v>
      </c>
      <c r="I22" s="26" t="s">
        <v>241</v>
      </c>
      <c r="J22" s="27">
        <v>42557</v>
      </c>
      <c r="K22" s="28">
        <v>2400</v>
      </c>
      <c r="L22" s="26"/>
      <c r="M22" s="26"/>
      <c r="N22" s="28"/>
      <c r="O22" s="26"/>
      <c r="P22" s="26"/>
      <c r="Q22" s="28"/>
      <c r="R22" s="6">
        <f>InvoiceTable[[#This Row],[Amount Line 1]]+InvoiceTable[[#This Row],[Amount Line 2]]+InvoiceTable[[#This Row],[Amount Line 3]]</f>
        <v>2400</v>
      </c>
      <c r="S22" s="41">
        <v>0</v>
      </c>
      <c r="T22" s="40">
        <f>InvoiceTable[[#This Row],[Agreed Amount Total]]+InvoiceTable[[#This Row],[Additional Expenses]]</f>
        <v>2400</v>
      </c>
      <c r="U22" s="40">
        <f>InvoiceTable[[#This Row],[Net Amount]]+InvoiceTable[[#This Row],[VAT to Pay]]</f>
        <v>2400</v>
      </c>
      <c r="V22" s="49">
        <v>15054</v>
      </c>
      <c r="W22" s="42">
        <v>44411</v>
      </c>
      <c r="X22" s="82">
        <f>IF(InvoiceTable[[#This Row],[Invoice Date]]="","",WORKDAY(InvoiceTable[[#This Row],[Invoice Date]],14))</f>
        <v>44431</v>
      </c>
      <c r="Y22" s="26" t="s">
        <v>144</v>
      </c>
      <c r="Z22" s="83">
        <v>44425</v>
      </c>
      <c r="AA22" s="40">
        <f>InvoiceTable[[#This Row],[Net Amount]]*InvoiceTable[[#This Row],[VAT]]</f>
        <v>0</v>
      </c>
      <c r="AB22" s="40">
        <f t="shared" si="2"/>
        <v>1200</v>
      </c>
      <c r="AD22" s="43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</row>
    <row r="23" spans="2:50" ht="27.6" x14ac:dyDescent="0.25">
      <c r="B23" s="45" t="s">
        <v>122</v>
      </c>
      <c r="C23" s="46" t="s">
        <v>12</v>
      </c>
      <c r="D23" s="47" t="s">
        <v>31</v>
      </c>
      <c r="E23" s="47" t="s">
        <v>33</v>
      </c>
      <c r="F23" s="47" t="s">
        <v>32</v>
      </c>
      <c r="G23" s="47"/>
      <c r="H23" s="67">
        <v>0</v>
      </c>
      <c r="I23" s="26" t="s">
        <v>242</v>
      </c>
      <c r="J23" s="27" t="s">
        <v>223</v>
      </c>
      <c r="K23" s="28">
        <v>3060</v>
      </c>
      <c r="L23" s="26"/>
      <c r="M23" s="26"/>
      <c r="N23" s="28"/>
      <c r="O23" s="26"/>
      <c r="P23" s="26"/>
      <c r="Q23" s="28"/>
      <c r="R23" s="6">
        <f>InvoiceTable[[#This Row],[Amount Line 1]]+InvoiceTable[[#This Row],[Amount Line 2]]+InvoiceTable[[#This Row],[Amount Line 3]]</f>
        <v>3060</v>
      </c>
      <c r="S23" s="41">
        <v>0</v>
      </c>
      <c r="T23" s="40">
        <f>InvoiceTable[[#This Row],[Agreed Amount Total]]+InvoiceTable[[#This Row],[Additional Expenses]]</f>
        <v>3060</v>
      </c>
      <c r="U23" s="40">
        <f>InvoiceTable[[#This Row],[Net Amount]]+InvoiceTable[[#This Row],[VAT to Pay]]</f>
        <v>3060</v>
      </c>
      <c r="V23" s="49">
        <v>15055</v>
      </c>
      <c r="W23" s="42">
        <v>44432</v>
      </c>
      <c r="X23" s="82">
        <f>IF(InvoiceTable[[#This Row],[Invoice Date]]="","",WORKDAY(InvoiceTable[[#This Row],[Invoice Date]],14))</f>
        <v>44452</v>
      </c>
      <c r="Y23" s="26" t="s">
        <v>144</v>
      </c>
      <c r="Z23" s="83">
        <v>44460</v>
      </c>
      <c r="AA23" s="40">
        <f>InvoiceTable[[#This Row],[Net Amount]]*InvoiceTable[[#This Row],[VAT]]</f>
        <v>0</v>
      </c>
      <c r="AB23" s="40">
        <f t="shared" ref="AB23:AB25" si="3">R23*0.5</f>
        <v>1530</v>
      </c>
      <c r="AD23" s="43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</row>
    <row r="24" spans="2:50" x14ac:dyDescent="0.25">
      <c r="B24" s="45" t="s">
        <v>122</v>
      </c>
      <c r="C24" s="46" t="s">
        <v>184</v>
      </c>
      <c r="D24" s="47" t="s">
        <v>31</v>
      </c>
      <c r="E24" s="47" t="s">
        <v>33</v>
      </c>
      <c r="F24" s="47" t="s">
        <v>32</v>
      </c>
      <c r="G24" s="47"/>
      <c r="H24" s="67">
        <v>0</v>
      </c>
      <c r="I24" s="26" t="s">
        <v>243</v>
      </c>
      <c r="J24" s="27">
        <v>42608</v>
      </c>
      <c r="K24" s="28">
        <v>1375</v>
      </c>
      <c r="L24" s="26"/>
      <c r="M24" s="26"/>
      <c r="N24" s="28"/>
      <c r="O24" s="26"/>
      <c r="P24" s="26"/>
      <c r="Q24" s="28"/>
      <c r="R24" s="6">
        <f>InvoiceTable[[#This Row],[Amount Line 1]]+InvoiceTable[[#This Row],[Amount Line 2]]+InvoiceTable[[#This Row],[Amount Line 3]]</f>
        <v>1375</v>
      </c>
      <c r="S24" s="41">
        <v>0</v>
      </c>
      <c r="T24" s="40">
        <f>InvoiceTable[[#This Row],[Agreed Amount Total]]+InvoiceTable[[#This Row],[Additional Expenses]]</f>
        <v>1375</v>
      </c>
      <c r="U24" s="40">
        <f>InvoiceTable[[#This Row],[Net Amount]]+InvoiceTable[[#This Row],[VAT to Pay]]</f>
        <v>1375</v>
      </c>
      <c r="V24" s="49">
        <v>15056</v>
      </c>
      <c r="W24" s="42">
        <v>44454</v>
      </c>
      <c r="X24" s="82">
        <f>IF(InvoiceTable[[#This Row],[Invoice Date]]="","",WORKDAY(InvoiceTable[[#This Row],[Invoice Date]],14))</f>
        <v>44474</v>
      </c>
      <c r="Y24" s="26" t="s">
        <v>144</v>
      </c>
      <c r="Z24" s="83">
        <v>44471</v>
      </c>
      <c r="AA24" s="40">
        <f>InvoiceTable[[#This Row],[Net Amount]]*InvoiceTable[[#This Row],[VAT]]</f>
        <v>0</v>
      </c>
      <c r="AB24" s="40">
        <f t="shared" si="3"/>
        <v>687.5</v>
      </c>
      <c r="AD24" s="43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</row>
    <row r="25" spans="2:50" ht="27.6" x14ac:dyDescent="0.25">
      <c r="B25" s="45" t="s">
        <v>121</v>
      </c>
      <c r="C25" s="46" t="s">
        <v>15</v>
      </c>
      <c r="D25" s="47" t="s">
        <v>36</v>
      </c>
      <c r="E25" s="47" t="s">
        <v>37</v>
      </c>
      <c r="F25" s="47" t="s">
        <v>38</v>
      </c>
      <c r="G25" s="47"/>
      <c r="H25" s="67">
        <v>0</v>
      </c>
      <c r="I25" s="26" t="s">
        <v>244</v>
      </c>
      <c r="J25" s="27" t="s">
        <v>224</v>
      </c>
      <c r="K25" s="28">
        <v>4000</v>
      </c>
      <c r="L25" s="26"/>
      <c r="M25" s="26"/>
      <c r="N25" s="28"/>
      <c r="O25" s="26"/>
      <c r="P25" s="26"/>
      <c r="Q25" s="28"/>
      <c r="R25" s="6">
        <f>InvoiceTable[[#This Row],[Amount Line 1]]+InvoiceTable[[#This Row],[Amount Line 2]]+InvoiceTable[[#This Row],[Amount Line 3]]</f>
        <v>4000</v>
      </c>
      <c r="S25" s="41">
        <v>0</v>
      </c>
      <c r="T25" s="40">
        <f>InvoiceTable[[#This Row],[Agreed Amount Total]]+InvoiceTable[[#This Row],[Additional Expenses]]</f>
        <v>4000</v>
      </c>
      <c r="U25" s="40">
        <f>InvoiceTable[[#This Row],[Net Amount]]+InvoiceTable[[#This Row],[VAT to Pay]]</f>
        <v>4000</v>
      </c>
      <c r="V25" s="49">
        <v>15057</v>
      </c>
      <c r="W25" s="42">
        <v>44476</v>
      </c>
      <c r="X25" s="82">
        <f>IF(InvoiceTable[[#This Row],[Invoice Date]]="","",WORKDAY(InvoiceTable[[#This Row],[Invoice Date]],14))</f>
        <v>44496</v>
      </c>
      <c r="Y25" s="26" t="s">
        <v>144</v>
      </c>
      <c r="Z25" s="83">
        <v>44496</v>
      </c>
      <c r="AA25" s="40">
        <f>InvoiceTable[[#This Row],[Net Amount]]*InvoiceTable[[#This Row],[VAT]]</f>
        <v>0</v>
      </c>
      <c r="AB25" s="40">
        <f t="shared" si="3"/>
        <v>2000</v>
      </c>
      <c r="AD25" s="43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</row>
    <row r="26" spans="2:50" ht="27.6" x14ac:dyDescent="0.25">
      <c r="B26" s="26" t="s">
        <v>48</v>
      </c>
      <c r="C26" s="26" t="s">
        <v>86</v>
      </c>
      <c r="D26" s="48" t="s">
        <v>39</v>
      </c>
      <c r="E26" s="48" t="s">
        <v>41</v>
      </c>
      <c r="F26" s="48" t="s">
        <v>40</v>
      </c>
      <c r="G26" s="48"/>
      <c r="H26" s="66">
        <v>0</v>
      </c>
      <c r="I26" s="26" t="s">
        <v>245</v>
      </c>
      <c r="J26" s="27" t="s">
        <v>225</v>
      </c>
      <c r="K26" s="28">
        <v>840</v>
      </c>
      <c r="L26" s="26"/>
      <c r="M26" s="26"/>
      <c r="N26" s="28"/>
      <c r="O26" s="26"/>
      <c r="P26" s="26"/>
      <c r="Q26" s="28"/>
      <c r="R26" s="6">
        <f>InvoiceTable[[#This Row],[Amount Line 1]]+InvoiceTable[[#This Row],[Amount Line 2]]+InvoiceTable[[#This Row],[Amount Line 3]]</f>
        <v>840</v>
      </c>
      <c r="S26" s="41">
        <v>0</v>
      </c>
      <c r="T26" s="40">
        <f>InvoiceTable[[#This Row],[Agreed Amount Total]]+InvoiceTable[[#This Row],[Additional Expenses]]</f>
        <v>840</v>
      </c>
      <c r="U26" s="40">
        <f>InvoiceTable[[#This Row],[Net Amount]]+InvoiceTable[[#This Row],[VAT to Pay]]</f>
        <v>840</v>
      </c>
      <c r="V26" s="49">
        <v>15058</v>
      </c>
      <c r="W26" s="42">
        <v>44505</v>
      </c>
      <c r="X26" s="82">
        <f>IF(InvoiceTable[[#This Row],[Invoice Date]]="","",WORKDAY(InvoiceTable[[#This Row],[Invoice Date]],14))</f>
        <v>44525</v>
      </c>
      <c r="Y26" s="26" t="s">
        <v>144</v>
      </c>
      <c r="Z26" s="83">
        <v>44553</v>
      </c>
      <c r="AA26" s="40">
        <f>InvoiceTable[[#This Row],[Net Amount]]*InvoiceTable[[#This Row],[VAT]]</f>
        <v>0</v>
      </c>
      <c r="AB26" s="40">
        <f>R26*0.5</f>
        <v>420</v>
      </c>
      <c r="AC26" s="26"/>
      <c r="AD26" s="43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</row>
    <row r="27" spans="2:50" ht="27.6" x14ac:dyDescent="0.25">
      <c r="B27" s="26" t="s">
        <v>122</v>
      </c>
      <c r="C27" s="26" t="s">
        <v>12</v>
      </c>
      <c r="D27" s="48" t="s">
        <v>31</v>
      </c>
      <c r="E27" s="48" t="s">
        <v>33</v>
      </c>
      <c r="F27" s="48" t="s">
        <v>32</v>
      </c>
      <c r="G27" s="48"/>
      <c r="H27" s="66">
        <v>0</v>
      </c>
      <c r="I27" s="26" t="s">
        <v>246</v>
      </c>
      <c r="J27" s="27" t="s">
        <v>226</v>
      </c>
      <c r="K27" s="28">
        <v>3600</v>
      </c>
      <c r="L27" s="26"/>
      <c r="M27" s="26"/>
      <c r="N27" s="28"/>
      <c r="O27" s="26"/>
      <c r="P27" s="26"/>
      <c r="Q27" s="28"/>
      <c r="R27" s="6">
        <f>InvoiceTable[[#This Row],[Amount Line 1]]+InvoiceTable[[#This Row],[Amount Line 2]]+InvoiceTable[[#This Row],[Amount Line 3]]</f>
        <v>3600</v>
      </c>
      <c r="S27" s="41">
        <v>0</v>
      </c>
      <c r="T27" s="40">
        <f>InvoiceTable[[#This Row],[Agreed Amount Total]]+InvoiceTable[[#This Row],[Additional Expenses]]</f>
        <v>3600</v>
      </c>
      <c r="U27" s="40">
        <f>InvoiceTable[[#This Row],[Net Amount]]+InvoiceTable[[#This Row],[VAT to Pay]]</f>
        <v>3600</v>
      </c>
      <c r="V27" s="49">
        <v>15059</v>
      </c>
      <c r="W27" s="42">
        <v>44531</v>
      </c>
      <c r="X27" s="82">
        <f>IF(InvoiceTable[[#This Row],[Invoice Date]]="","",WORKDAY(InvoiceTable[[#This Row],[Invoice Date]],14))</f>
        <v>44551</v>
      </c>
      <c r="Y27" s="26" t="s">
        <v>144</v>
      </c>
      <c r="Z27" s="83">
        <v>44544</v>
      </c>
      <c r="AA27" s="40">
        <f>InvoiceTable[[#This Row],[Net Amount]]*InvoiceTable[[#This Row],[VAT]]</f>
        <v>0</v>
      </c>
      <c r="AB27" s="40">
        <f>R27*0.5</f>
        <v>1800</v>
      </c>
      <c r="AC27" s="26"/>
      <c r="AD27" s="43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</row>
    <row r="28" spans="2:50" x14ac:dyDescent="0.25">
      <c r="B28" s="26" t="s">
        <v>48</v>
      </c>
      <c r="C28" s="26" t="s">
        <v>86</v>
      </c>
      <c r="D28" s="48" t="s">
        <v>39</v>
      </c>
      <c r="E28" s="48" t="s">
        <v>41</v>
      </c>
      <c r="F28" s="48" t="s">
        <v>40</v>
      </c>
      <c r="G28" s="48"/>
      <c r="H28" s="66">
        <v>0</v>
      </c>
      <c r="I28" s="26" t="s">
        <v>247</v>
      </c>
      <c r="J28" s="27">
        <v>42862</v>
      </c>
      <c r="K28" s="28">
        <v>3600</v>
      </c>
      <c r="L28" s="26"/>
      <c r="M28" s="26"/>
      <c r="N28" s="28"/>
      <c r="O28" s="26"/>
      <c r="P28" s="26"/>
      <c r="Q28" s="28"/>
      <c r="R28" s="6">
        <f>InvoiceTable[[#This Row],[Amount Line 1]]+InvoiceTable[[#This Row],[Amount Line 2]]+InvoiceTable[[#This Row],[Amount Line 3]]</f>
        <v>3600</v>
      </c>
      <c r="S28" s="41"/>
      <c r="T28" s="40">
        <f>InvoiceTable[[#This Row],[Agreed Amount Total]]+InvoiceTable[[#This Row],[Additional Expenses]]</f>
        <v>3600</v>
      </c>
      <c r="U28" s="40">
        <f>InvoiceTable[[#This Row],[Net Amount]]+InvoiceTable[[#This Row],[VAT to Pay]]</f>
        <v>3600</v>
      </c>
      <c r="V28" s="49">
        <v>15060</v>
      </c>
      <c r="W28" s="42">
        <v>44563</v>
      </c>
      <c r="X28" s="82">
        <f>IF(InvoiceTable[[#This Row],[Invoice Date]]="","",WORKDAY(InvoiceTable[[#This Row],[Invoice Date]],14))</f>
        <v>44581</v>
      </c>
      <c r="Y28" s="26" t="s">
        <v>144</v>
      </c>
      <c r="Z28" s="83">
        <v>44579</v>
      </c>
      <c r="AA28" s="40">
        <f>InvoiceTable[[#This Row],[Net Amount]]*InvoiceTable[[#This Row],[VAT]]</f>
        <v>0</v>
      </c>
      <c r="AB28" s="40">
        <f>R28*0.5</f>
        <v>1800</v>
      </c>
      <c r="AC28" s="26"/>
      <c r="AD28" s="43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</row>
    <row r="29" spans="2:50" ht="27.6" x14ac:dyDescent="0.25">
      <c r="B29" s="45" t="s">
        <v>122</v>
      </c>
      <c r="C29" s="46" t="s">
        <v>12</v>
      </c>
      <c r="D29" s="47" t="s">
        <v>31</v>
      </c>
      <c r="E29" s="47" t="s">
        <v>33</v>
      </c>
      <c r="F29" s="47" t="s">
        <v>32</v>
      </c>
      <c r="G29" s="48"/>
      <c r="H29" s="66">
        <v>0</v>
      </c>
      <c r="I29" s="26" t="s">
        <v>248</v>
      </c>
      <c r="J29" s="27">
        <v>42869</v>
      </c>
      <c r="K29" s="28">
        <v>2700</v>
      </c>
      <c r="L29" s="26"/>
      <c r="M29" s="26"/>
      <c r="N29" s="28"/>
      <c r="O29" s="26"/>
      <c r="P29" s="26"/>
      <c r="Q29" s="28"/>
      <c r="R29" s="6">
        <f>InvoiceTable[[#This Row],[Amount Line 1]]+InvoiceTable[[#This Row],[Amount Line 2]]+InvoiceTable[[#This Row],[Amount Line 3]]</f>
        <v>2700</v>
      </c>
      <c r="S29" s="41"/>
      <c r="T29" s="40">
        <f>InvoiceTable[[#This Row],[Agreed Amount Total]]+InvoiceTable[[#This Row],[Additional Expenses]]</f>
        <v>2700</v>
      </c>
      <c r="U29" s="40">
        <f>InvoiceTable[[#This Row],[Net Amount]]+InvoiceTable[[#This Row],[VAT to Pay]]</f>
        <v>2700</v>
      </c>
      <c r="V29" s="49">
        <v>15061</v>
      </c>
      <c r="W29" s="42">
        <v>44563</v>
      </c>
      <c r="X29" s="82">
        <f>IF(InvoiceTable[[#This Row],[Invoice Date]]="","",WORKDAY(InvoiceTable[[#This Row],[Invoice Date]],14))</f>
        <v>44581</v>
      </c>
      <c r="Y29" s="26" t="s">
        <v>144</v>
      </c>
      <c r="Z29" s="83">
        <v>44574</v>
      </c>
      <c r="AA29" s="40">
        <f>InvoiceTable[[#This Row],[Net Amount]]*InvoiceTable[[#This Row],[VAT]]</f>
        <v>0</v>
      </c>
      <c r="AB29" s="40">
        <f t="shared" ref="AB29:AB44" si="4">R29*0.5</f>
        <v>1350</v>
      </c>
      <c r="AC29" s="26"/>
      <c r="AD29" s="43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</row>
    <row r="30" spans="2:50" ht="27.6" x14ac:dyDescent="0.25">
      <c r="B30" s="45" t="s">
        <v>122</v>
      </c>
      <c r="C30" s="46" t="s">
        <v>184</v>
      </c>
      <c r="D30" s="47" t="s">
        <v>31</v>
      </c>
      <c r="E30" s="47" t="s">
        <v>33</v>
      </c>
      <c r="F30" s="47" t="s">
        <v>32</v>
      </c>
      <c r="G30" s="48"/>
      <c r="H30" s="66">
        <v>0</v>
      </c>
      <c r="I30" s="26" t="s">
        <v>248</v>
      </c>
      <c r="J30" s="27">
        <v>42869</v>
      </c>
      <c r="K30" s="28">
        <v>2700</v>
      </c>
      <c r="L30" s="26"/>
      <c r="M30" s="26"/>
      <c r="N30" s="28"/>
      <c r="O30" s="26"/>
      <c r="P30" s="26"/>
      <c r="Q30" s="28"/>
      <c r="R30" s="6">
        <f>InvoiceTable[[#This Row],[Amount Line 1]]+InvoiceTable[[#This Row],[Amount Line 2]]+InvoiceTable[[#This Row],[Amount Line 3]]</f>
        <v>2700</v>
      </c>
      <c r="S30" s="41"/>
      <c r="T30" s="40">
        <f>InvoiceTable[[#This Row],[Agreed Amount Total]]+InvoiceTable[[#This Row],[Additional Expenses]]</f>
        <v>2700</v>
      </c>
      <c r="U30" s="40">
        <f>InvoiceTable[[#This Row],[Net Amount]]+InvoiceTable[[#This Row],[VAT to Pay]]</f>
        <v>2700</v>
      </c>
      <c r="V30" s="49">
        <v>15062</v>
      </c>
      <c r="W30" s="42">
        <v>44566</v>
      </c>
      <c r="X30" s="82">
        <f>IF(InvoiceTable[[#This Row],[Invoice Date]]="","",WORKDAY(InvoiceTable[[#This Row],[Invoice Date]],14))</f>
        <v>44586</v>
      </c>
      <c r="Y30" s="26" t="s">
        <v>144</v>
      </c>
      <c r="Z30" s="83">
        <v>44583</v>
      </c>
      <c r="AA30" s="40">
        <f>InvoiceTable[[#This Row],[Net Amount]]*InvoiceTable[[#This Row],[VAT]]</f>
        <v>0</v>
      </c>
      <c r="AB30" s="40">
        <f t="shared" si="4"/>
        <v>1350</v>
      </c>
      <c r="AC30" s="26"/>
      <c r="AD30" s="43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</row>
    <row r="31" spans="2:50" x14ac:dyDescent="0.25">
      <c r="B31" s="45" t="s">
        <v>121</v>
      </c>
      <c r="C31" s="46" t="s">
        <v>15</v>
      </c>
      <c r="D31" s="47" t="s">
        <v>36</v>
      </c>
      <c r="E31" s="47" t="s">
        <v>37</v>
      </c>
      <c r="F31" s="47" t="s">
        <v>38</v>
      </c>
      <c r="G31" s="48"/>
      <c r="H31" s="66">
        <v>0</v>
      </c>
      <c r="I31" s="26" t="s">
        <v>247</v>
      </c>
      <c r="J31" s="27">
        <v>42880</v>
      </c>
      <c r="K31" s="28">
        <v>1800</v>
      </c>
      <c r="L31" s="26"/>
      <c r="M31" s="26"/>
      <c r="N31" s="28"/>
      <c r="O31" s="26"/>
      <c r="P31" s="26"/>
      <c r="Q31" s="28"/>
      <c r="R31" s="6">
        <f>InvoiceTable[[#This Row],[Amount Line 1]]+InvoiceTable[[#This Row],[Amount Line 2]]+InvoiceTable[[#This Row],[Amount Line 3]]</f>
        <v>1800</v>
      </c>
      <c r="S31" s="41"/>
      <c r="T31" s="40">
        <f>InvoiceTable[[#This Row],[Agreed Amount Total]]+InvoiceTable[[#This Row],[Additional Expenses]]</f>
        <v>1800</v>
      </c>
      <c r="U31" s="40">
        <f>InvoiceTable[[#This Row],[Net Amount]]+InvoiceTable[[#This Row],[VAT to Pay]]</f>
        <v>1800</v>
      </c>
      <c r="V31" s="49">
        <v>15063</v>
      </c>
      <c r="W31" s="42">
        <v>44566</v>
      </c>
      <c r="X31" s="82">
        <f>IF(InvoiceTable[[#This Row],[Invoice Date]]="","",WORKDAY(InvoiceTable[[#This Row],[Invoice Date]],14))</f>
        <v>44586</v>
      </c>
      <c r="Y31" s="26" t="s">
        <v>144</v>
      </c>
      <c r="Z31" s="83">
        <v>44592</v>
      </c>
      <c r="AA31" s="40">
        <f>InvoiceTable[[#This Row],[Net Amount]]*InvoiceTable[[#This Row],[VAT]]</f>
        <v>0</v>
      </c>
      <c r="AB31" s="40">
        <f t="shared" si="4"/>
        <v>900</v>
      </c>
      <c r="AC31" s="26"/>
      <c r="AD31" s="43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</row>
    <row r="32" spans="2:50" x14ac:dyDescent="0.25">
      <c r="B32" s="26" t="s">
        <v>48</v>
      </c>
      <c r="C32" s="26" t="s">
        <v>86</v>
      </c>
      <c r="D32" s="48" t="s">
        <v>39</v>
      </c>
      <c r="E32" s="48" t="s">
        <v>41</v>
      </c>
      <c r="F32" s="48" t="s">
        <v>40</v>
      </c>
      <c r="G32" s="48"/>
      <c r="H32" s="66">
        <v>0</v>
      </c>
      <c r="I32" s="26" t="s">
        <v>247</v>
      </c>
      <c r="J32" s="27">
        <v>42880</v>
      </c>
      <c r="K32" s="28">
        <v>1800</v>
      </c>
      <c r="L32" s="26"/>
      <c r="M32" s="26"/>
      <c r="N32" s="28"/>
      <c r="O32" s="26"/>
      <c r="P32" s="26"/>
      <c r="Q32" s="28"/>
      <c r="R32" s="6">
        <f>InvoiceTable[[#This Row],[Amount Line 1]]+InvoiceTable[[#This Row],[Amount Line 2]]+InvoiceTable[[#This Row],[Amount Line 3]]</f>
        <v>1800</v>
      </c>
      <c r="S32" s="41"/>
      <c r="T32" s="40">
        <f>InvoiceTable[[#This Row],[Agreed Amount Total]]+InvoiceTable[[#This Row],[Additional Expenses]]</f>
        <v>1800</v>
      </c>
      <c r="U32" s="40">
        <f>InvoiceTable[[#This Row],[Net Amount]]+InvoiceTable[[#This Row],[VAT to Pay]]</f>
        <v>1800</v>
      </c>
      <c r="V32" s="49">
        <v>15064</v>
      </c>
      <c r="W32" s="42">
        <v>44573</v>
      </c>
      <c r="X32" s="82">
        <f>IF(InvoiceTable[[#This Row],[Invoice Date]]="","",WORKDAY(InvoiceTable[[#This Row],[Invoice Date]],14))</f>
        <v>44593</v>
      </c>
      <c r="Y32" s="26" t="s">
        <v>144</v>
      </c>
      <c r="Z32" s="83">
        <v>44593</v>
      </c>
      <c r="AA32" s="40">
        <f>InvoiceTable[[#This Row],[Net Amount]]*InvoiceTable[[#This Row],[VAT]]</f>
        <v>0</v>
      </c>
      <c r="AB32" s="40">
        <f t="shared" si="4"/>
        <v>900</v>
      </c>
      <c r="AC32" s="26"/>
      <c r="AD32" s="43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</row>
    <row r="33" spans="2:50" x14ac:dyDescent="0.25">
      <c r="B33" s="32" t="s">
        <v>44</v>
      </c>
      <c r="C33" s="44" t="s">
        <v>10</v>
      </c>
      <c r="D33" s="39" t="s">
        <v>25</v>
      </c>
      <c r="E33" s="39" t="s">
        <v>26</v>
      </c>
      <c r="F33" s="39" t="s">
        <v>27</v>
      </c>
      <c r="G33" s="39"/>
      <c r="H33" s="66">
        <v>0</v>
      </c>
      <c r="I33" s="26" t="s">
        <v>247</v>
      </c>
      <c r="J33" s="27">
        <v>42900</v>
      </c>
      <c r="K33" s="28">
        <v>9900</v>
      </c>
      <c r="L33" s="26"/>
      <c r="M33" s="26"/>
      <c r="N33" s="28"/>
      <c r="O33" s="26"/>
      <c r="P33" s="26"/>
      <c r="Q33" s="28"/>
      <c r="R33" s="6">
        <f>InvoiceTable[[#This Row],[Amount Line 1]]+InvoiceTable[[#This Row],[Amount Line 2]]+InvoiceTable[[#This Row],[Amount Line 3]]</f>
        <v>9900</v>
      </c>
      <c r="S33" s="41"/>
      <c r="T33" s="40">
        <f>InvoiceTable[[#This Row],[Agreed Amount Total]]+InvoiceTable[[#This Row],[Additional Expenses]]</f>
        <v>9900</v>
      </c>
      <c r="U33" s="40">
        <f>InvoiceTable[[#This Row],[Net Amount]]+InvoiceTable[[#This Row],[VAT to Pay]]</f>
        <v>9900</v>
      </c>
      <c r="V33" s="49">
        <v>15065</v>
      </c>
      <c r="W33" s="42">
        <v>44594</v>
      </c>
      <c r="X33" s="82">
        <f>IF(InvoiceTable[[#This Row],[Invoice Date]]="","",WORKDAY(InvoiceTable[[#This Row],[Invoice Date]],14))</f>
        <v>44614</v>
      </c>
      <c r="Y33" s="26" t="s">
        <v>144</v>
      </c>
      <c r="Z33" s="83">
        <v>44612</v>
      </c>
      <c r="AA33" s="40">
        <f>InvoiceTable[[#This Row],[Net Amount]]*InvoiceTable[[#This Row],[VAT]]</f>
        <v>0</v>
      </c>
      <c r="AB33" s="40">
        <f t="shared" si="4"/>
        <v>4950</v>
      </c>
      <c r="AC33" s="26"/>
      <c r="AD33" s="43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</row>
    <row r="34" spans="2:50" x14ac:dyDescent="0.25">
      <c r="B34" s="32" t="s">
        <v>63</v>
      </c>
      <c r="C34" s="32" t="s">
        <v>80</v>
      </c>
      <c r="D34" s="39" t="s">
        <v>60</v>
      </c>
      <c r="E34" s="39" t="s">
        <v>61</v>
      </c>
      <c r="F34" s="39" t="s">
        <v>57</v>
      </c>
      <c r="G34" s="39" t="s">
        <v>111</v>
      </c>
      <c r="H34" s="65">
        <v>0.2</v>
      </c>
      <c r="I34" s="26" t="s">
        <v>247</v>
      </c>
      <c r="J34" s="27">
        <v>42900</v>
      </c>
      <c r="K34" s="28">
        <v>4500</v>
      </c>
      <c r="L34" s="26"/>
      <c r="M34" s="26"/>
      <c r="N34" s="28"/>
      <c r="O34" s="26"/>
      <c r="P34" s="26"/>
      <c r="Q34" s="28"/>
      <c r="R34" s="6">
        <f>InvoiceTable[[#This Row],[Amount Line 1]]+InvoiceTable[[#This Row],[Amount Line 2]]+InvoiceTable[[#This Row],[Amount Line 3]]</f>
        <v>4500</v>
      </c>
      <c r="S34" s="41"/>
      <c r="T34" s="40">
        <f>InvoiceTable[[#This Row],[Agreed Amount Total]]+InvoiceTable[[#This Row],[Additional Expenses]]</f>
        <v>4500</v>
      </c>
      <c r="U34" s="40">
        <f>InvoiceTable[[#This Row],[Net Amount]]+InvoiceTable[[#This Row],[VAT to Pay]]</f>
        <v>5400</v>
      </c>
      <c r="V34" s="49">
        <v>15066</v>
      </c>
      <c r="W34" s="42">
        <v>44594</v>
      </c>
      <c r="X34" s="82">
        <f>IF(InvoiceTable[[#This Row],[Invoice Date]]="","",WORKDAY(InvoiceTable[[#This Row],[Invoice Date]],14))</f>
        <v>44614</v>
      </c>
      <c r="Y34" s="26" t="s">
        <v>379</v>
      </c>
      <c r="Z34" s="83"/>
      <c r="AA34" s="40">
        <f>InvoiceTable[[#This Row],[Net Amount]]*InvoiceTable[[#This Row],[VAT]]</f>
        <v>900</v>
      </c>
      <c r="AB34" s="40">
        <f t="shared" si="4"/>
        <v>2250</v>
      </c>
      <c r="AC34" s="26"/>
      <c r="AD34" s="43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</row>
    <row r="35" spans="2:50" x14ac:dyDescent="0.25">
      <c r="B35" s="32" t="s">
        <v>65</v>
      </c>
      <c r="C35" s="32" t="s">
        <v>82</v>
      </c>
      <c r="D35" s="39" t="s">
        <v>60</v>
      </c>
      <c r="E35" s="39" t="s">
        <v>61</v>
      </c>
      <c r="F35" s="39" t="s">
        <v>57</v>
      </c>
      <c r="G35" s="39" t="s">
        <v>108</v>
      </c>
      <c r="H35" s="65">
        <v>0.2</v>
      </c>
      <c r="I35" s="26" t="s">
        <v>247</v>
      </c>
      <c r="J35" s="27">
        <v>42900</v>
      </c>
      <c r="K35" s="28">
        <v>1800</v>
      </c>
      <c r="L35" s="26"/>
      <c r="M35" s="26"/>
      <c r="N35" s="28"/>
      <c r="O35" s="26"/>
      <c r="P35" s="26"/>
      <c r="Q35" s="28"/>
      <c r="R35" s="6">
        <f>InvoiceTable[[#This Row],[Amount Line 1]]+InvoiceTable[[#This Row],[Amount Line 2]]+InvoiceTable[[#This Row],[Amount Line 3]]</f>
        <v>1800</v>
      </c>
      <c r="S35" s="41"/>
      <c r="T35" s="40">
        <f>InvoiceTable[[#This Row],[Agreed Amount Total]]+InvoiceTable[[#This Row],[Additional Expenses]]</f>
        <v>1800</v>
      </c>
      <c r="U35" s="40">
        <f>InvoiceTable[[#This Row],[Net Amount]]+InvoiceTable[[#This Row],[VAT to Pay]]</f>
        <v>2160</v>
      </c>
      <c r="V35" s="49">
        <v>15067</v>
      </c>
      <c r="W35" s="42">
        <v>44594</v>
      </c>
      <c r="X35" s="82">
        <f>IF(InvoiceTable[[#This Row],[Invoice Date]]="","",WORKDAY(InvoiceTable[[#This Row],[Invoice Date]],14))</f>
        <v>44614</v>
      </c>
      <c r="Y35" s="26" t="s">
        <v>144</v>
      </c>
      <c r="Z35" s="83">
        <v>44612</v>
      </c>
      <c r="AA35" s="40">
        <f>InvoiceTable[[#This Row],[Net Amount]]*InvoiceTable[[#This Row],[VAT]]</f>
        <v>360</v>
      </c>
      <c r="AB35" s="40">
        <f t="shared" si="4"/>
        <v>900</v>
      </c>
      <c r="AC35" s="26"/>
      <c r="AD35" s="43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</row>
    <row r="36" spans="2:50" x14ac:dyDescent="0.25">
      <c r="B36" s="32" t="s">
        <v>122</v>
      </c>
      <c r="C36" s="44" t="s">
        <v>12</v>
      </c>
      <c r="D36" s="39" t="s">
        <v>31</v>
      </c>
      <c r="E36" s="39" t="s">
        <v>33</v>
      </c>
      <c r="F36" s="39" t="s">
        <v>32</v>
      </c>
      <c r="G36" s="39"/>
      <c r="H36" s="65">
        <v>0</v>
      </c>
      <c r="I36" s="26" t="s">
        <v>249</v>
      </c>
      <c r="J36" s="27">
        <v>42901</v>
      </c>
      <c r="K36" s="28">
        <v>800</v>
      </c>
      <c r="L36" s="26"/>
      <c r="M36" s="26"/>
      <c r="N36" s="28"/>
      <c r="O36" s="26"/>
      <c r="P36" s="26"/>
      <c r="Q36" s="28"/>
      <c r="R36" s="6">
        <f>InvoiceTable[[#This Row],[Amount Line 1]]+InvoiceTable[[#This Row],[Amount Line 2]]+InvoiceTable[[#This Row],[Amount Line 3]]</f>
        <v>800</v>
      </c>
      <c r="S36" s="41"/>
      <c r="T36" s="40">
        <f>InvoiceTable[[#This Row],[Agreed Amount Total]]+InvoiceTable[[#This Row],[Additional Expenses]]</f>
        <v>800</v>
      </c>
      <c r="U36" s="40">
        <f>InvoiceTable[[#This Row],[Net Amount]]+InvoiceTable[[#This Row],[VAT to Pay]]</f>
        <v>800</v>
      </c>
      <c r="V36" s="49">
        <v>15068</v>
      </c>
      <c r="W36" s="42">
        <v>44594</v>
      </c>
      <c r="X36" s="82">
        <f>IF(InvoiceTable[[#This Row],[Invoice Date]]="","",WORKDAY(InvoiceTable[[#This Row],[Invoice Date]],14))</f>
        <v>44614</v>
      </c>
      <c r="Y36" s="26" t="s">
        <v>144</v>
      </c>
      <c r="Z36" s="83">
        <v>44620</v>
      </c>
      <c r="AA36" s="40">
        <f>InvoiceTable[[#This Row],[Net Amount]]*InvoiceTable[[#This Row],[VAT]]</f>
        <v>0</v>
      </c>
      <c r="AB36" s="40">
        <f t="shared" si="4"/>
        <v>400</v>
      </c>
      <c r="AC36" s="26"/>
      <c r="AD36" s="43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</row>
    <row r="37" spans="2:50" x14ac:dyDescent="0.25">
      <c r="B37" s="45" t="s">
        <v>156</v>
      </c>
      <c r="C37" s="46" t="s">
        <v>87</v>
      </c>
      <c r="D37" s="47" t="s">
        <v>22</v>
      </c>
      <c r="E37" s="47" t="s">
        <v>23</v>
      </c>
      <c r="F37" s="47" t="s">
        <v>24</v>
      </c>
      <c r="G37" s="47"/>
      <c r="H37" s="67">
        <v>0</v>
      </c>
      <c r="I37" s="26" t="s">
        <v>249</v>
      </c>
      <c r="J37" s="27">
        <v>42945</v>
      </c>
      <c r="K37" s="28">
        <v>1800</v>
      </c>
      <c r="L37" s="26"/>
      <c r="M37" s="26"/>
      <c r="N37" s="28"/>
      <c r="O37" s="26"/>
      <c r="P37" s="26"/>
      <c r="Q37" s="28"/>
      <c r="R37" s="6">
        <f>InvoiceTable[[#This Row],[Amount Line 1]]+InvoiceTable[[#This Row],[Amount Line 2]]+InvoiceTable[[#This Row],[Amount Line 3]]</f>
        <v>1800</v>
      </c>
      <c r="S37" s="41"/>
      <c r="T37" s="40">
        <f>InvoiceTable[[#This Row],[Agreed Amount Total]]+InvoiceTable[[#This Row],[Additional Expenses]]</f>
        <v>1800</v>
      </c>
      <c r="U37" s="40">
        <f>InvoiceTable[[#This Row],[Net Amount]]+InvoiceTable[[#This Row],[VAT to Pay]]</f>
        <v>1800</v>
      </c>
      <c r="V37" s="49">
        <v>15069</v>
      </c>
      <c r="W37" s="42">
        <v>44608</v>
      </c>
      <c r="X37" s="82">
        <f>IF(InvoiceTable[[#This Row],[Invoice Date]]="","",WORKDAY(InvoiceTable[[#This Row],[Invoice Date]],14))</f>
        <v>44628</v>
      </c>
      <c r="Y37" s="26" t="s">
        <v>379</v>
      </c>
      <c r="Z37" s="83"/>
      <c r="AA37" s="40">
        <f>InvoiceTable[[#This Row],[Net Amount]]*InvoiceTable[[#This Row],[VAT]]</f>
        <v>0</v>
      </c>
      <c r="AB37" s="40">
        <f t="shared" si="4"/>
        <v>900</v>
      </c>
      <c r="AC37" s="26"/>
      <c r="AD37" s="43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</row>
    <row r="38" spans="2:50" x14ac:dyDescent="0.25">
      <c r="B38" s="45" t="s">
        <v>124</v>
      </c>
      <c r="C38" s="46" t="s">
        <v>18</v>
      </c>
      <c r="D38" s="47" t="s">
        <v>91</v>
      </c>
      <c r="E38" s="47" t="s">
        <v>92</v>
      </c>
      <c r="F38" s="47" t="s">
        <v>99</v>
      </c>
      <c r="G38" s="47" t="s">
        <v>120</v>
      </c>
      <c r="H38" s="67">
        <v>0.2</v>
      </c>
      <c r="I38" s="26" t="s">
        <v>249</v>
      </c>
      <c r="J38" s="27">
        <v>42957</v>
      </c>
      <c r="K38" s="28">
        <v>1800</v>
      </c>
      <c r="L38" s="26"/>
      <c r="M38" s="26"/>
      <c r="N38" s="28"/>
      <c r="O38" s="26"/>
      <c r="P38" s="26"/>
      <c r="Q38" s="28"/>
      <c r="R38" s="6">
        <f>InvoiceTable[[#This Row],[Amount Line 1]]+InvoiceTable[[#This Row],[Amount Line 2]]+InvoiceTable[[#This Row],[Amount Line 3]]</f>
        <v>1800</v>
      </c>
      <c r="S38" s="41"/>
      <c r="T38" s="40">
        <f>InvoiceTable[[#This Row],[Agreed Amount Total]]+InvoiceTable[[#This Row],[Additional Expenses]]</f>
        <v>1800</v>
      </c>
      <c r="U38" s="40">
        <f>InvoiceTable[[#This Row],[Net Amount]]+InvoiceTable[[#This Row],[VAT to Pay]]</f>
        <v>2160</v>
      </c>
      <c r="V38" s="49">
        <v>15070</v>
      </c>
      <c r="W38" s="42">
        <v>44620</v>
      </c>
      <c r="X38" s="82">
        <f>IF(InvoiceTable[[#This Row],[Invoice Date]]="","",WORKDAY(InvoiceTable[[#This Row],[Invoice Date]],14))</f>
        <v>44638</v>
      </c>
      <c r="Y38" s="26" t="s">
        <v>379</v>
      </c>
      <c r="Z38" s="83"/>
      <c r="AA38" s="40">
        <f>InvoiceTable[[#This Row],[Net Amount]]*InvoiceTable[[#This Row],[VAT]]</f>
        <v>360</v>
      </c>
      <c r="AB38" s="40">
        <f t="shared" si="4"/>
        <v>900</v>
      </c>
      <c r="AC38" s="26"/>
      <c r="AD38" s="43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</row>
    <row r="39" spans="2:50" x14ac:dyDescent="0.25">
      <c r="B39" s="26" t="s">
        <v>66</v>
      </c>
      <c r="C39" s="26" t="s">
        <v>17</v>
      </c>
      <c r="D39" s="48" t="s">
        <v>55</v>
      </c>
      <c r="E39" s="48" t="s">
        <v>56</v>
      </c>
      <c r="F39" s="48" t="s">
        <v>57</v>
      </c>
      <c r="G39" s="48" t="s">
        <v>109</v>
      </c>
      <c r="H39" s="66">
        <v>0.2</v>
      </c>
      <c r="I39" s="26" t="s">
        <v>249</v>
      </c>
      <c r="J39" s="27">
        <v>42981</v>
      </c>
      <c r="K39" s="28">
        <v>5130</v>
      </c>
      <c r="L39" s="26"/>
      <c r="M39" s="26"/>
      <c r="N39" s="28"/>
      <c r="O39" s="26"/>
      <c r="P39" s="26"/>
      <c r="Q39" s="28"/>
      <c r="R39" s="6">
        <f>InvoiceTable[[#This Row],[Amount Line 1]]+InvoiceTable[[#This Row],[Amount Line 2]]+InvoiceTable[[#This Row],[Amount Line 3]]</f>
        <v>5130</v>
      </c>
      <c r="S39" s="41"/>
      <c r="T39" s="40">
        <f>InvoiceTable[[#This Row],[Agreed Amount Total]]+InvoiceTable[[#This Row],[Additional Expenses]]</f>
        <v>5130</v>
      </c>
      <c r="U39" s="40">
        <f>InvoiceTable[[#This Row],[Net Amount]]+InvoiceTable[[#This Row],[VAT to Pay]]</f>
        <v>6156</v>
      </c>
      <c r="V39" s="49">
        <v>15071</v>
      </c>
      <c r="W39" s="42">
        <v>44613</v>
      </c>
      <c r="X39" s="82">
        <f>IF(InvoiceTable[[#This Row],[Invoice Date]]="","",WORKDAY(InvoiceTable[[#This Row],[Invoice Date]],14))</f>
        <v>44631</v>
      </c>
      <c r="Y39" s="26" t="s">
        <v>144</v>
      </c>
      <c r="Z39" s="83">
        <v>44630</v>
      </c>
      <c r="AA39" s="40">
        <f>InvoiceTable[[#This Row],[Net Amount]]*InvoiceTable[[#This Row],[VAT]]</f>
        <v>1026</v>
      </c>
      <c r="AB39" s="40">
        <f t="shared" si="4"/>
        <v>2565</v>
      </c>
      <c r="AC39" s="26"/>
      <c r="AD39" s="43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</row>
    <row r="40" spans="2:50" x14ac:dyDescent="0.25">
      <c r="B40" s="26" t="s">
        <v>47</v>
      </c>
      <c r="C40" s="26" t="s">
        <v>85</v>
      </c>
      <c r="D40" s="48" t="s">
        <v>39</v>
      </c>
      <c r="E40" s="48" t="s">
        <v>41</v>
      </c>
      <c r="F40" s="48" t="s">
        <v>40</v>
      </c>
      <c r="G40" s="48"/>
      <c r="H40" s="66">
        <v>0</v>
      </c>
      <c r="I40" s="26" t="s">
        <v>249</v>
      </c>
      <c r="J40" s="27">
        <v>42985</v>
      </c>
      <c r="K40" s="28">
        <v>1680</v>
      </c>
      <c r="L40" s="26"/>
      <c r="M40" s="26"/>
      <c r="N40" s="28"/>
      <c r="O40" s="26"/>
      <c r="P40" s="26"/>
      <c r="Q40" s="28"/>
      <c r="R40" s="6">
        <f>InvoiceTable[[#This Row],[Amount Line 1]]+InvoiceTable[[#This Row],[Amount Line 2]]+InvoiceTable[[#This Row],[Amount Line 3]]</f>
        <v>1680</v>
      </c>
      <c r="S40" s="41"/>
      <c r="T40" s="40">
        <f>InvoiceTable[[#This Row],[Agreed Amount Total]]+InvoiceTable[[#This Row],[Additional Expenses]]</f>
        <v>1680</v>
      </c>
      <c r="U40" s="40">
        <f>InvoiceTable[[#This Row],[Net Amount]]+InvoiceTable[[#This Row],[VAT to Pay]]</f>
        <v>1680</v>
      </c>
      <c r="V40" s="49">
        <v>15072</v>
      </c>
      <c r="W40" s="42">
        <v>44622</v>
      </c>
      <c r="X40" s="82">
        <f>IF(InvoiceTable[[#This Row],[Invoice Date]]="","",WORKDAY(InvoiceTable[[#This Row],[Invoice Date]],14))</f>
        <v>44642</v>
      </c>
      <c r="Y40" s="26" t="s">
        <v>144</v>
      </c>
      <c r="Z40" s="83">
        <v>44640</v>
      </c>
      <c r="AA40" s="40">
        <f>InvoiceTable[[#This Row],[Net Amount]]*InvoiceTable[[#This Row],[VAT]]</f>
        <v>0</v>
      </c>
      <c r="AB40" s="40">
        <f t="shared" si="4"/>
        <v>840</v>
      </c>
      <c r="AC40" s="26"/>
      <c r="AD40" s="43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</row>
    <row r="41" spans="2:50" ht="27.6" x14ac:dyDescent="0.25">
      <c r="B41" s="26" t="s">
        <v>47</v>
      </c>
      <c r="C41" s="26" t="s">
        <v>85</v>
      </c>
      <c r="D41" s="48" t="s">
        <v>39</v>
      </c>
      <c r="E41" s="48" t="s">
        <v>41</v>
      </c>
      <c r="F41" s="48" t="s">
        <v>40</v>
      </c>
      <c r="G41" s="48"/>
      <c r="H41" s="66">
        <v>0</v>
      </c>
      <c r="I41" s="26" t="s">
        <v>248</v>
      </c>
      <c r="J41" s="27">
        <v>42986</v>
      </c>
      <c r="K41" s="28">
        <v>1800</v>
      </c>
      <c r="L41" s="26"/>
      <c r="M41" s="26"/>
      <c r="N41" s="28"/>
      <c r="O41" s="26"/>
      <c r="P41" s="26"/>
      <c r="Q41" s="28"/>
      <c r="R41" s="6">
        <f>InvoiceTable[[#This Row],[Amount Line 1]]+InvoiceTable[[#This Row],[Amount Line 2]]+InvoiceTable[[#This Row],[Amount Line 3]]</f>
        <v>1800</v>
      </c>
      <c r="S41" s="41"/>
      <c r="T41" s="40">
        <f>InvoiceTable[[#This Row],[Agreed Amount Total]]+InvoiceTable[[#This Row],[Additional Expenses]]</f>
        <v>1800</v>
      </c>
      <c r="U41" s="40">
        <f>InvoiceTable[[#This Row],[Net Amount]]+InvoiceTable[[#This Row],[VAT to Pay]]</f>
        <v>1800</v>
      </c>
      <c r="V41" s="49">
        <v>15073</v>
      </c>
      <c r="W41" s="42">
        <v>44622</v>
      </c>
      <c r="X41" s="82">
        <f>IF(InvoiceTable[[#This Row],[Invoice Date]]="","",WORKDAY(InvoiceTable[[#This Row],[Invoice Date]],14))</f>
        <v>44642</v>
      </c>
      <c r="Y41" s="26" t="s">
        <v>379</v>
      </c>
      <c r="Z41" s="83"/>
      <c r="AA41" s="40">
        <f>InvoiceTable[[#This Row],[Net Amount]]*InvoiceTable[[#This Row],[VAT]]</f>
        <v>0</v>
      </c>
      <c r="AB41" s="40">
        <f t="shared" si="4"/>
        <v>900</v>
      </c>
      <c r="AC41" s="26"/>
      <c r="AD41" s="43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</row>
    <row r="42" spans="2:50" ht="27.6" x14ac:dyDescent="0.25">
      <c r="B42" s="26" t="s">
        <v>72</v>
      </c>
      <c r="C42" s="26" t="s">
        <v>20</v>
      </c>
      <c r="D42" s="48" t="s">
        <v>73</v>
      </c>
      <c r="E42" s="48" t="s">
        <v>74</v>
      </c>
      <c r="F42" s="48" t="s">
        <v>70</v>
      </c>
      <c r="G42" s="48" t="s">
        <v>106</v>
      </c>
      <c r="H42" s="66">
        <v>0.19</v>
      </c>
      <c r="I42" s="26" t="s">
        <v>248</v>
      </c>
      <c r="J42" s="27">
        <v>43027</v>
      </c>
      <c r="K42" s="28">
        <v>6750</v>
      </c>
      <c r="L42" s="26"/>
      <c r="M42" s="26"/>
      <c r="N42" s="28"/>
      <c r="O42" s="26"/>
      <c r="P42" s="26"/>
      <c r="Q42" s="28"/>
      <c r="R42" s="6">
        <f>InvoiceTable[[#This Row],[Amount Line 1]]+InvoiceTable[[#This Row],[Amount Line 2]]+InvoiceTable[[#This Row],[Amount Line 3]]</f>
        <v>6750</v>
      </c>
      <c r="S42" s="41"/>
      <c r="T42" s="40">
        <f>InvoiceTable[[#This Row],[Agreed Amount Total]]+InvoiceTable[[#This Row],[Additional Expenses]]</f>
        <v>6750</v>
      </c>
      <c r="U42" s="40">
        <f>InvoiceTable[[#This Row],[Net Amount]]+InvoiceTable[[#This Row],[VAT to Pay]]</f>
        <v>8032.5</v>
      </c>
      <c r="V42" s="49">
        <v>15074</v>
      </c>
      <c r="W42" s="42">
        <v>44622</v>
      </c>
      <c r="X42" s="82">
        <f>IF(InvoiceTable[[#This Row],[Invoice Date]]="","",WORKDAY(InvoiceTable[[#This Row],[Invoice Date]],14))</f>
        <v>44642</v>
      </c>
      <c r="Y42" s="26" t="s">
        <v>144</v>
      </c>
      <c r="Z42" s="83">
        <v>44641</v>
      </c>
      <c r="AA42" s="40">
        <f>InvoiceTable[[#This Row],[Net Amount]]*InvoiceTable[[#This Row],[VAT]]</f>
        <v>1282.5</v>
      </c>
      <c r="AB42" s="40">
        <f t="shared" si="4"/>
        <v>3375</v>
      </c>
      <c r="AC42" s="26"/>
      <c r="AD42" s="43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</row>
    <row r="43" spans="2:50" x14ac:dyDescent="0.25">
      <c r="B43" s="26" t="s">
        <v>65</v>
      </c>
      <c r="C43" s="26" t="s">
        <v>82</v>
      </c>
      <c r="D43" s="48" t="s">
        <v>60</v>
      </c>
      <c r="E43" s="48" t="s">
        <v>61</v>
      </c>
      <c r="F43" s="48" t="s">
        <v>57</v>
      </c>
      <c r="G43" s="48" t="s">
        <v>108</v>
      </c>
      <c r="H43" s="66">
        <v>0.2</v>
      </c>
      <c r="I43" s="26" t="s">
        <v>250</v>
      </c>
      <c r="J43" s="27">
        <v>43027</v>
      </c>
      <c r="K43" s="28">
        <v>5562.5</v>
      </c>
      <c r="L43" s="26"/>
      <c r="M43" s="26"/>
      <c r="N43" s="28"/>
      <c r="O43" s="26"/>
      <c r="P43" s="26"/>
      <c r="Q43" s="28"/>
      <c r="R43" s="6">
        <f>InvoiceTable[[#This Row],[Amount Line 1]]+InvoiceTable[[#This Row],[Amount Line 2]]+InvoiceTable[[#This Row],[Amount Line 3]]</f>
        <v>5562.5</v>
      </c>
      <c r="S43" s="41"/>
      <c r="T43" s="40">
        <f>InvoiceTable[[#This Row],[Agreed Amount Total]]+InvoiceTable[[#This Row],[Additional Expenses]]</f>
        <v>5562.5</v>
      </c>
      <c r="U43" s="40">
        <f>InvoiceTable[[#This Row],[Net Amount]]+InvoiceTable[[#This Row],[VAT to Pay]]</f>
        <v>6675</v>
      </c>
      <c r="V43" s="49">
        <v>15075</v>
      </c>
      <c r="W43" s="42">
        <v>44656</v>
      </c>
      <c r="X43" s="82">
        <f>IF(InvoiceTable[[#This Row],[Invoice Date]]="","",WORKDAY(InvoiceTable[[#This Row],[Invoice Date]],14))</f>
        <v>44676</v>
      </c>
      <c r="Y43" s="26" t="s">
        <v>144</v>
      </c>
      <c r="Z43" s="83">
        <v>44673</v>
      </c>
      <c r="AA43" s="40">
        <f>InvoiceTable[[#This Row],[Net Amount]]*InvoiceTable[[#This Row],[VAT]]</f>
        <v>1112.5</v>
      </c>
      <c r="AB43" s="40">
        <f t="shared" si="4"/>
        <v>2781.25</v>
      </c>
      <c r="AC43" s="26"/>
      <c r="AD43" s="43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</row>
    <row r="44" spans="2:50" x14ac:dyDescent="0.25">
      <c r="B44" s="26" t="s">
        <v>64</v>
      </c>
      <c r="C44" s="26" t="s">
        <v>81</v>
      </c>
      <c r="D44" s="48" t="s">
        <v>60</v>
      </c>
      <c r="E44" s="48" t="s">
        <v>61</v>
      </c>
      <c r="F44" s="48" t="s">
        <v>57</v>
      </c>
      <c r="G44" s="48" t="s">
        <v>112</v>
      </c>
      <c r="H44" s="66">
        <v>0.2</v>
      </c>
      <c r="I44" s="26" t="s">
        <v>250</v>
      </c>
      <c r="J44" s="27">
        <v>43034</v>
      </c>
      <c r="K44" s="28">
        <v>4800</v>
      </c>
      <c r="L44" s="26"/>
      <c r="M44" s="26"/>
      <c r="N44" s="28"/>
      <c r="O44" s="26"/>
      <c r="P44" s="26"/>
      <c r="Q44" s="28"/>
      <c r="R44" s="6">
        <f>InvoiceTable[[#This Row],[Amount Line 1]]+InvoiceTable[[#This Row],[Amount Line 2]]+InvoiceTable[[#This Row],[Amount Line 3]]</f>
        <v>4800</v>
      </c>
      <c r="S44" s="41"/>
      <c r="T44" s="40">
        <f>InvoiceTable[[#This Row],[Agreed Amount Total]]+InvoiceTable[[#This Row],[Additional Expenses]]</f>
        <v>4800</v>
      </c>
      <c r="U44" s="40">
        <f>InvoiceTable[[#This Row],[Net Amount]]+InvoiceTable[[#This Row],[VAT to Pay]]</f>
        <v>5760</v>
      </c>
      <c r="V44" s="49">
        <v>15076</v>
      </c>
      <c r="W44" s="42">
        <v>44666</v>
      </c>
      <c r="X44" s="82">
        <f>IF(InvoiceTable[[#This Row],[Invoice Date]]="","",WORKDAY(InvoiceTable[[#This Row],[Invoice Date]],14))</f>
        <v>44686</v>
      </c>
      <c r="Y44" s="26" t="s">
        <v>144</v>
      </c>
      <c r="Z44" s="83">
        <v>44685</v>
      </c>
      <c r="AA44" s="40">
        <f>InvoiceTable[[#This Row],[Net Amount]]*InvoiceTable[[#This Row],[VAT]]</f>
        <v>960</v>
      </c>
      <c r="AB44" s="40">
        <f t="shared" si="4"/>
        <v>2400</v>
      </c>
      <c r="AC44" s="26"/>
      <c r="AD44" s="43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</row>
    <row r="45" spans="2:50" ht="27.6" x14ac:dyDescent="0.25">
      <c r="B45" s="26" t="s">
        <v>50</v>
      </c>
      <c r="C45" s="26" t="s">
        <v>185</v>
      </c>
      <c r="D45" s="48" t="s">
        <v>96</v>
      </c>
      <c r="E45" s="48" t="s">
        <v>97</v>
      </c>
      <c r="F45" s="48" t="s">
        <v>99</v>
      </c>
      <c r="G45" s="48" t="s">
        <v>117</v>
      </c>
      <c r="H45" s="66"/>
      <c r="I45" s="26"/>
      <c r="J45" s="43"/>
      <c r="K45" s="28">
        <v>6734</v>
      </c>
      <c r="L45" s="26"/>
      <c r="M45" s="26"/>
      <c r="N45" s="28"/>
      <c r="O45" s="26"/>
      <c r="P45" s="26"/>
      <c r="Q45" s="28"/>
      <c r="R45" s="6">
        <f>InvoiceTable[[#This Row],[Amount Line 1]]+InvoiceTable[[#This Row],[Amount Line 2]]+InvoiceTable[[#This Row],[Amount Line 3]]</f>
        <v>6734</v>
      </c>
      <c r="S45" s="41"/>
      <c r="T45" s="40">
        <f>InvoiceTable[[#This Row],[Agreed Amount Total]]+InvoiceTable[[#This Row],[Additional Expenses]]</f>
        <v>6734</v>
      </c>
      <c r="U45" s="40">
        <f>InvoiceTable[[#This Row],[Net Amount]]+InvoiceTable[[#This Row],[VAT to Pay]]</f>
        <v>6734</v>
      </c>
      <c r="V45" s="49">
        <v>15077</v>
      </c>
      <c r="W45" s="42">
        <v>44702</v>
      </c>
      <c r="X45" s="82">
        <f>IF(InvoiceTable[[#This Row],[Invoice Date]]="","",WORKDAY(InvoiceTable[[#This Row],[Invoice Date]],14))</f>
        <v>44721</v>
      </c>
      <c r="Y45" s="26" t="s">
        <v>379</v>
      </c>
      <c r="Z45" s="83"/>
      <c r="AA45" s="40">
        <f>InvoiceTable[[#This Row],[Net Amount]]*InvoiceTable[[#This Row],[VAT]]</f>
        <v>0</v>
      </c>
      <c r="AB45" s="40">
        <f t="shared" ref="AB45:AB57" si="5">R45*0.5</f>
        <v>3367</v>
      </c>
      <c r="AC45" s="26"/>
      <c r="AD45" s="43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</row>
    <row r="46" spans="2:50" x14ac:dyDescent="0.25">
      <c r="B46" s="26" t="s">
        <v>51</v>
      </c>
      <c r="C46" s="26" t="s">
        <v>16</v>
      </c>
      <c r="D46" s="48" t="s">
        <v>102</v>
      </c>
      <c r="E46" s="48" t="s">
        <v>103</v>
      </c>
      <c r="F46" s="48" t="s">
        <v>100</v>
      </c>
      <c r="G46" s="48"/>
      <c r="H46" s="66"/>
      <c r="I46" s="26"/>
      <c r="J46" s="43"/>
      <c r="K46" s="28">
        <v>6261</v>
      </c>
      <c r="L46" s="26"/>
      <c r="M46" s="26"/>
      <c r="N46" s="28"/>
      <c r="O46" s="26"/>
      <c r="P46" s="26"/>
      <c r="Q46" s="28"/>
      <c r="R46" s="6">
        <f>InvoiceTable[[#This Row],[Amount Line 1]]+InvoiceTable[[#This Row],[Amount Line 2]]+InvoiceTable[[#This Row],[Amount Line 3]]</f>
        <v>6261</v>
      </c>
      <c r="S46" s="41"/>
      <c r="T46" s="40">
        <f>InvoiceTable[[#This Row],[Agreed Amount Total]]+InvoiceTable[[#This Row],[Additional Expenses]]</f>
        <v>6261</v>
      </c>
      <c r="U46" s="40">
        <f>InvoiceTable[[#This Row],[Net Amount]]+InvoiceTable[[#This Row],[VAT to Pay]]</f>
        <v>6261</v>
      </c>
      <c r="V46" s="49">
        <v>15078</v>
      </c>
      <c r="W46" s="42">
        <v>44706</v>
      </c>
      <c r="X46" s="82">
        <f>IF(InvoiceTable[[#This Row],[Invoice Date]]="","",WORKDAY(InvoiceTable[[#This Row],[Invoice Date]],14))</f>
        <v>44726</v>
      </c>
      <c r="Y46" s="26" t="s">
        <v>144</v>
      </c>
      <c r="Z46" s="83">
        <v>44725</v>
      </c>
      <c r="AA46" s="40">
        <f>InvoiceTable[[#This Row],[Net Amount]]*InvoiceTable[[#This Row],[VAT]]</f>
        <v>0</v>
      </c>
      <c r="AB46" s="40">
        <f t="shared" si="5"/>
        <v>3130.5</v>
      </c>
      <c r="AC46" s="26"/>
      <c r="AD46" s="43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</row>
    <row r="47" spans="2:50" x14ac:dyDescent="0.25">
      <c r="B47" s="26" t="s">
        <v>44</v>
      </c>
      <c r="C47" s="26" t="s">
        <v>10</v>
      </c>
      <c r="D47" s="48" t="s">
        <v>25</v>
      </c>
      <c r="E47" s="48" t="s">
        <v>26</v>
      </c>
      <c r="F47" s="48" t="s">
        <v>27</v>
      </c>
      <c r="G47" s="48"/>
      <c r="H47" s="66"/>
      <c r="I47" s="26"/>
      <c r="J47" s="43"/>
      <c r="K47" s="28">
        <v>4051</v>
      </c>
      <c r="L47" s="26"/>
      <c r="M47" s="26"/>
      <c r="N47" s="28"/>
      <c r="O47" s="26"/>
      <c r="P47" s="26"/>
      <c r="Q47" s="28"/>
      <c r="R47" s="6">
        <f>InvoiceTable[[#This Row],[Amount Line 1]]+InvoiceTable[[#This Row],[Amount Line 2]]+InvoiceTable[[#This Row],[Amount Line 3]]</f>
        <v>4051</v>
      </c>
      <c r="S47" s="41"/>
      <c r="T47" s="40">
        <f>InvoiceTable[[#This Row],[Agreed Amount Total]]+InvoiceTable[[#This Row],[Additional Expenses]]</f>
        <v>4051</v>
      </c>
      <c r="U47" s="40">
        <f>InvoiceTable[[#This Row],[Net Amount]]+InvoiceTable[[#This Row],[VAT to Pay]]</f>
        <v>4051</v>
      </c>
      <c r="V47" s="49">
        <v>15079</v>
      </c>
      <c r="W47" s="42">
        <v>44714</v>
      </c>
      <c r="X47" s="82">
        <f>IF(InvoiceTable[[#This Row],[Invoice Date]]="","",WORKDAY(InvoiceTable[[#This Row],[Invoice Date]],14))</f>
        <v>44734</v>
      </c>
      <c r="Y47" s="26" t="s">
        <v>144</v>
      </c>
      <c r="Z47" s="83">
        <v>44733</v>
      </c>
      <c r="AA47" s="40">
        <f>InvoiceTable[[#This Row],[Net Amount]]*InvoiceTable[[#This Row],[VAT]]</f>
        <v>0</v>
      </c>
      <c r="AB47" s="40">
        <f t="shared" si="5"/>
        <v>2025.5</v>
      </c>
      <c r="AC47" s="26"/>
      <c r="AD47" s="43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</row>
    <row r="48" spans="2:50" x14ac:dyDescent="0.25">
      <c r="B48" s="26" t="s">
        <v>122</v>
      </c>
      <c r="C48" s="26" t="s">
        <v>12</v>
      </c>
      <c r="D48" s="48" t="s">
        <v>31</v>
      </c>
      <c r="E48" s="48" t="s">
        <v>33</v>
      </c>
      <c r="F48" s="48" t="s">
        <v>32</v>
      </c>
      <c r="G48" s="48"/>
      <c r="H48" s="66"/>
      <c r="I48" s="26"/>
      <c r="J48" s="43"/>
      <c r="K48" s="28">
        <v>4762</v>
      </c>
      <c r="L48" s="26"/>
      <c r="M48" s="26"/>
      <c r="N48" s="28"/>
      <c r="O48" s="26"/>
      <c r="P48" s="26"/>
      <c r="Q48" s="28"/>
      <c r="R48" s="6">
        <f>InvoiceTable[[#This Row],[Amount Line 1]]+InvoiceTable[[#This Row],[Amount Line 2]]+InvoiceTable[[#This Row],[Amount Line 3]]</f>
        <v>4762</v>
      </c>
      <c r="S48" s="41"/>
      <c r="T48" s="40">
        <f>InvoiceTable[[#This Row],[Agreed Amount Total]]+InvoiceTable[[#This Row],[Additional Expenses]]</f>
        <v>4762</v>
      </c>
      <c r="U48" s="40">
        <f>InvoiceTable[[#This Row],[Net Amount]]+InvoiceTable[[#This Row],[VAT to Pay]]</f>
        <v>4762</v>
      </c>
      <c r="V48" s="49">
        <v>15080</v>
      </c>
      <c r="W48" s="42">
        <v>44717</v>
      </c>
      <c r="X48" s="82">
        <f>IF(InvoiceTable[[#This Row],[Invoice Date]]="","",WORKDAY(InvoiceTable[[#This Row],[Invoice Date]],14))</f>
        <v>44735</v>
      </c>
      <c r="Y48" s="26" t="s">
        <v>144</v>
      </c>
      <c r="Z48" s="83">
        <v>44735</v>
      </c>
      <c r="AA48" s="40">
        <f>InvoiceTable[[#This Row],[Net Amount]]*InvoiceTable[[#This Row],[VAT]]</f>
        <v>0</v>
      </c>
      <c r="AB48" s="40">
        <f t="shared" si="5"/>
        <v>2381</v>
      </c>
      <c r="AC48" s="26"/>
      <c r="AD48" s="43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</row>
    <row r="49" spans="2:49" x14ac:dyDescent="0.25">
      <c r="B49" s="26" t="s">
        <v>47</v>
      </c>
      <c r="C49" s="26" t="s">
        <v>85</v>
      </c>
      <c r="D49" s="48" t="s">
        <v>39</v>
      </c>
      <c r="E49" s="48" t="s">
        <v>41</v>
      </c>
      <c r="F49" s="48" t="s">
        <v>40</v>
      </c>
      <c r="G49" s="48"/>
      <c r="H49" s="66"/>
      <c r="I49" s="26"/>
      <c r="J49" s="43"/>
      <c r="K49" s="28">
        <v>6667</v>
      </c>
      <c r="L49" s="26"/>
      <c r="M49" s="26"/>
      <c r="N49" s="28"/>
      <c r="O49" s="26"/>
      <c r="P49" s="26"/>
      <c r="Q49" s="28"/>
      <c r="R49" s="6">
        <f>InvoiceTable[[#This Row],[Amount Line 1]]+InvoiceTable[[#This Row],[Amount Line 2]]+InvoiceTable[[#This Row],[Amount Line 3]]</f>
        <v>6667</v>
      </c>
      <c r="S49" s="41"/>
      <c r="T49" s="40">
        <f>InvoiceTable[[#This Row],[Agreed Amount Total]]+InvoiceTable[[#This Row],[Additional Expenses]]</f>
        <v>6667</v>
      </c>
      <c r="U49" s="40">
        <f>InvoiceTable[[#This Row],[Net Amount]]+InvoiceTable[[#This Row],[VAT to Pay]]</f>
        <v>6667</v>
      </c>
      <c r="V49" s="49">
        <v>15081</v>
      </c>
      <c r="W49" s="42">
        <v>44730</v>
      </c>
      <c r="X49" s="82">
        <f>IF(InvoiceTable[[#This Row],[Invoice Date]]="","",WORKDAY(InvoiceTable[[#This Row],[Invoice Date]],14))</f>
        <v>44749</v>
      </c>
      <c r="Y49" s="26" t="s">
        <v>144</v>
      </c>
      <c r="Z49" s="83">
        <v>44749</v>
      </c>
      <c r="AA49" s="40">
        <f>InvoiceTable[[#This Row],[Net Amount]]*InvoiceTable[[#This Row],[VAT]]</f>
        <v>0</v>
      </c>
      <c r="AB49" s="40">
        <f t="shared" si="5"/>
        <v>3333.5</v>
      </c>
      <c r="AC49" s="26"/>
      <c r="AD49" s="43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</row>
    <row r="50" spans="2:49" x14ac:dyDescent="0.25">
      <c r="B50" s="26" t="s">
        <v>52</v>
      </c>
      <c r="C50" s="26" t="s">
        <v>191</v>
      </c>
      <c r="D50" s="48" t="s">
        <v>101</v>
      </c>
      <c r="E50" s="48" t="s">
        <v>192</v>
      </c>
      <c r="F50" s="48" t="s">
        <v>57</v>
      </c>
      <c r="G50" s="48" t="s">
        <v>113</v>
      </c>
      <c r="H50" s="66">
        <v>0.2</v>
      </c>
      <c r="I50" s="26"/>
      <c r="J50" s="43"/>
      <c r="K50" s="28">
        <v>2204</v>
      </c>
      <c r="L50" s="26"/>
      <c r="M50" s="26"/>
      <c r="N50" s="28"/>
      <c r="O50" s="26"/>
      <c r="P50" s="26"/>
      <c r="Q50" s="28"/>
      <c r="R50" s="6">
        <f>InvoiceTable[[#This Row],[Amount Line 1]]+InvoiceTable[[#This Row],[Amount Line 2]]+InvoiceTable[[#This Row],[Amount Line 3]]</f>
        <v>2204</v>
      </c>
      <c r="S50" s="41"/>
      <c r="T50" s="40">
        <f>InvoiceTable[[#This Row],[Agreed Amount Total]]+InvoiceTable[[#This Row],[Additional Expenses]]</f>
        <v>2204</v>
      </c>
      <c r="U50" s="40">
        <f>InvoiceTable[[#This Row],[Net Amount]]+InvoiceTable[[#This Row],[VAT to Pay]]</f>
        <v>2644.8</v>
      </c>
      <c r="V50" s="49">
        <v>15082</v>
      </c>
      <c r="W50" s="42">
        <v>44773</v>
      </c>
      <c r="X50" s="82">
        <f>IF(InvoiceTable[[#This Row],[Invoice Date]]="","",WORKDAY(InvoiceTable[[#This Row],[Invoice Date]],14))</f>
        <v>44791</v>
      </c>
      <c r="Y50" s="26" t="s">
        <v>379</v>
      </c>
      <c r="Z50" s="83"/>
      <c r="AA50" s="40">
        <f>InvoiceTable[[#This Row],[Net Amount]]*InvoiceTable[[#This Row],[VAT]]</f>
        <v>440.8</v>
      </c>
      <c r="AB50" s="40">
        <f t="shared" si="5"/>
        <v>1102</v>
      </c>
      <c r="AC50" s="26"/>
      <c r="AD50" s="43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</row>
    <row r="51" spans="2:49" x14ac:dyDescent="0.25">
      <c r="B51" s="26" t="s">
        <v>197</v>
      </c>
      <c r="C51" s="26" t="s">
        <v>198</v>
      </c>
      <c r="D51" s="48" t="s">
        <v>199</v>
      </c>
      <c r="E51" s="48" t="s">
        <v>200</v>
      </c>
      <c r="F51" s="48" t="s">
        <v>100</v>
      </c>
      <c r="G51" s="48"/>
      <c r="H51" s="66"/>
      <c r="I51" s="26"/>
      <c r="J51" s="43"/>
      <c r="K51" s="28">
        <v>7549</v>
      </c>
      <c r="L51" s="26"/>
      <c r="M51" s="26"/>
      <c r="N51" s="28"/>
      <c r="O51" s="26"/>
      <c r="P51" s="26"/>
      <c r="Q51" s="28"/>
      <c r="R51" s="6">
        <f>InvoiceTable[[#This Row],[Amount Line 1]]+InvoiceTable[[#This Row],[Amount Line 2]]+InvoiceTable[[#This Row],[Amount Line 3]]</f>
        <v>7549</v>
      </c>
      <c r="S51" s="41"/>
      <c r="T51" s="40">
        <f>InvoiceTable[[#This Row],[Agreed Amount Total]]+InvoiceTable[[#This Row],[Additional Expenses]]</f>
        <v>7549</v>
      </c>
      <c r="U51" s="40">
        <f>InvoiceTable[[#This Row],[Net Amount]]+InvoiceTable[[#This Row],[VAT to Pay]]</f>
        <v>7549</v>
      </c>
      <c r="V51" s="49">
        <v>15083</v>
      </c>
      <c r="W51" s="42">
        <v>44779</v>
      </c>
      <c r="X51" s="82">
        <f>IF(InvoiceTable[[#This Row],[Invoice Date]]="","",WORKDAY(InvoiceTable[[#This Row],[Invoice Date]],14))</f>
        <v>44798</v>
      </c>
      <c r="Y51" s="26" t="s">
        <v>144</v>
      </c>
      <c r="Z51" s="83">
        <v>44798</v>
      </c>
      <c r="AA51" s="40">
        <f>InvoiceTable[[#This Row],[Net Amount]]*InvoiceTable[[#This Row],[VAT]]</f>
        <v>0</v>
      </c>
      <c r="AB51" s="40">
        <f t="shared" si="5"/>
        <v>3774.5</v>
      </c>
      <c r="AC51" s="26"/>
      <c r="AD51" s="43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</row>
    <row r="52" spans="2:49" ht="27.6" x14ac:dyDescent="0.25">
      <c r="B52" s="26" t="s">
        <v>50</v>
      </c>
      <c r="C52" s="26" t="s">
        <v>185</v>
      </c>
      <c r="D52" s="48" t="s">
        <v>96</v>
      </c>
      <c r="E52" s="48" t="s">
        <v>97</v>
      </c>
      <c r="F52" s="48" t="s">
        <v>99</v>
      </c>
      <c r="G52" s="48" t="s">
        <v>117</v>
      </c>
      <c r="H52" s="66"/>
      <c r="I52" s="26"/>
      <c r="J52" s="43"/>
      <c r="K52" s="28">
        <v>5948</v>
      </c>
      <c r="L52" s="26"/>
      <c r="M52" s="26"/>
      <c r="N52" s="28"/>
      <c r="O52" s="26"/>
      <c r="P52" s="26"/>
      <c r="Q52" s="28"/>
      <c r="R52" s="6">
        <f>InvoiceTable[[#This Row],[Amount Line 1]]+InvoiceTable[[#This Row],[Amount Line 2]]+InvoiceTable[[#This Row],[Amount Line 3]]</f>
        <v>5948</v>
      </c>
      <c r="S52" s="41"/>
      <c r="T52" s="40">
        <f>InvoiceTable[[#This Row],[Agreed Amount Total]]+InvoiceTable[[#This Row],[Additional Expenses]]</f>
        <v>5948</v>
      </c>
      <c r="U52" s="40">
        <f>InvoiceTable[[#This Row],[Net Amount]]+InvoiceTable[[#This Row],[VAT to Pay]]</f>
        <v>5948</v>
      </c>
      <c r="V52" s="49">
        <v>15084</v>
      </c>
      <c r="W52" s="42">
        <v>44817</v>
      </c>
      <c r="X52" s="82">
        <f>IF(InvoiceTable[[#This Row],[Invoice Date]]="","",WORKDAY(InvoiceTable[[#This Row],[Invoice Date]],14))</f>
        <v>44837</v>
      </c>
      <c r="Y52" s="26" t="s">
        <v>144</v>
      </c>
      <c r="Z52" s="83">
        <v>44834</v>
      </c>
      <c r="AA52" s="40">
        <f>InvoiceTable[[#This Row],[Net Amount]]*InvoiceTable[[#This Row],[VAT]]</f>
        <v>0</v>
      </c>
      <c r="AB52" s="40">
        <f t="shared" si="5"/>
        <v>2974</v>
      </c>
      <c r="AC52" s="26"/>
      <c r="AD52" s="43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</row>
    <row r="53" spans="2:49" x14ac:dyDescent="0.25">
      <c r="B53" s="26" t="s">
        <v>54</v>
      </c>
      <c r="C53" s="26" t="s">
        <v>19</v>
      </c>
      <c r="D53" s="48" t="s">
        <v>58</v>
      </c>
      <c r="E53" s="48" t="s">
        <v>59</v>
      </c>
      <c r="F53" s="48" t="s">
        <v>57</v>
      </c>
      <c r="G53" s="48" t="s">
        <v>116</v>
      </c>
      <c r="H53" s="66">
        <v>0.2</v>
      </c>
      <c r="I53" s="26"/>
      <c r="J53" s="43"/>
      <c r="K53" s="28">
        <v>1672</v>
      </c>
      <c r="L53" s="26"/>
      <c r="M53" s="26"/>
      <c r="N53" s="28"/>
      <c r="O53" s="26"/>
      <c r="P53" s="26"/>
      <c r="Q53" s="28"/>
      <c r="R53" s="6">
        <f>InvoiceTable[[#This Row],[Amount Line 1]]+InvoiceTable[[#This Row],[Amount Line 2]]+InvoiceTable[[#This Row],[Amount Line 3]]</f>
        <v>1672</v>
      </c>
      <c r="S53" s="41"/>
      <c r="T53" s="40">
        <f>InvoiceTable[[#This Row],[Agreed Amount Total]]+InvoiceTable[[#This Row],[Additional Expenses]]</f>
        <v>1672</v>
      </c>
      <c r="U53" s="40">
        <f>InvoiceTable[[#This Row],[Net Amount]]+InvoiceTable[[#This Row],[VAT to Pay]]</f>
        <v>2006.4</v>
      </c>
      <c r="V53" s="49">
        <v>15085</v>
      </c>
      <c r="W53" s="42">
        <v>44835</v>
      </c>
      <c r="X53" s="82">
        <f>IF(InvoiceTable[[#This Row],[Invoice Date]]="","",WORKDAY(InvoiceTable[[#This Row],[Invoice Date]],14))</f>
        <v>44854</v>
      </c>
      <c r="Y53" s="26" t="s">
        <v>144</v>
      </c>
      <c r="Z53" s="83">
        <v>44854</v>
      </c>
      <c r="AA53" s="40">
        <f>InvoiceTable[[#This Row],[Net Amount]]*InvoiceTable[[#This Row],[VAT]]</f>
        <v>334.40000000000003</v>
      </c>
      <c r="AB53" s="40">
        <f t="shared" si="5"/>
        <v>836</v>
      </c>
      <c r="AC53" s="26"/>
      <c r="AD53" s="43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</row>
    <row r="54" spans="2:49" ht="16.2" customHeight="1" x14ac:dyDescent="0.25">
      <c r="B54" s="26" t="s">
        <v>67</v>
      </c>
      <c r="C54" s="26" t="s">
        <v>83</v>
      </c>
      <c r="D54" s="48" t="s">
        <v>60</v>
      </c>
      <c r="E54" s="48" t="s">
        <v>61</v>
      </c>
      <c r="F54" s="48" t="s">
        <v>57</v>
      </c>
      <c r="G54" s="48" t="s">
        <v>115</v>
      </c>
      <c r="H54" s="66">
        <v>0.2</v>
      </c>
      <c r="I54" s="26" t="s">
        <v>387</v>
      </c>
      <c r="J54" s="43">
        <v>44794</v>
      </c>
      <c r="K54" s="28">
        <v>4155</v>
      </c>
      <c r="L54" s="26"/>
      <c r="M54" s="26"/>
      <c r="N54" s="28"/>
      <c r="O54" s="26"/>
      <c r="P54" s="26"/>
      <c r="Q54" s="28"/>
      <c r="R54" s="6">
        <f>InvoiceTable[[#This Row],[Amount Line 1]]+InvoiceTable[[#This Row],[Amount Line 2]]+InvoiceTable[[#This Row],[Amount Line 3]]</f>
        <v>4155</v>
      </c>
      <c r="S54" s="41"/>
      <c r="T54" s="40">
        <f>InvoiceTable[[#This Row],[Agreed Amount Total]]+InvoiceTable[[#This Row],[Additional Expenses]]</f>
        <v>4155</v>
      </c>
      <c r="U54" s="40">
        <f>InvoiceTable[[#This Row],[Net Amount]]+InvoiceTable[[#This Row],[VAT to Pay]]</f>
        <v>4986</v>
      </c>
      <c r="V54" s="49">
        <v>15086</v>
      </c>
      <c r="W54" s="42">
        <v>44857</v>
      </c>
      <c r="X54" s="82">
        <f>IF(InvoiceTable[[#This Row],[Invoice Date]]="","",WORKDAY(InvoiceTable[[#This Row],[Invoice Date]],14))</f>
        <v>44875</v>
      </c>
      <c r="Y54" s="26" t="s">
        <v>306</v>
      </c>
      <c r="Z54" s="83"/>
      <c r="AA54" s="40">
        <f>InvoiceTable[[#This Row],[Net Amount]]*InvoiceTable[[#This Row],[VAT]]</f>
        <v>831</v>
      </c>
      <c r="AB54" s="40">
        <f t="shared" si="5"/>
        <v>2077.5</v>
      </c>
      <c r="AC54" s="26"/>
      <c r="AD54" s="43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</row>
    <row r="55" spans="2:49" x14ac:dyDescent="0.25">
      <c r="B55" s="26" t="s">
        <v>76</v>
      </c>
      <c r="C55" s="26" t="s">
        <v>21</v>
      </c>
      <c r="D55" s="48" t="s">
        <v>75</v>
      </c>
      <c r="E55" s="48" t="s">
        <v>74</v>
      </c>
      <c r="F55" s="48" t="s">
        <v>70</v>
      </c>
      <c r="G55" s="48" t="s">
        <v>107</v>
      </c>
      <c r="H55" s="66">
        <v>0.19</v>
      </c>
      <c r="I55" s="26" t="s">
        <v>388</v>
      </c>
      <c r="J55" s="43">
        <v>44816</v>
      </c>
      <c r="K55" s="28">
        <v>3613</v>
      </c>
      <c r="L55" s="26"/>
      <c r="M55" s="26"/>
      <c r="N55" s="28"/>
      <c r="O55" s="26"/>
      <c r="P55" s="26"/>
      <c r="Q55" s="28"/>
      <c r="R55" s="6">
        <f>InvoiceTable[[#This Row],[Amount Line 1]]+InvoiceTable[[#This Row],[Amount Line 2]]+InvoiceTable[[#This Row],[Amount Line 3]]</f>
        <v>3613</v>
      </c>
      <c r="S55" s="41"/>
      <c r="T55" s="40">
        <f>InvoiceTable[[#This Row],[Agreed Amount Total]]+InvoiceTable[[#This Row],[Additional Expenses]]</f>
        <v>3613</v>
      </c>
      <c r="U55" s="40">
        <f>InvoiceTable[[#This Row],[Net Amount]]+InvoiceTable[[#This Row],[VAT to Pay]]</f>
        <v>4299.47</v>
      </c>
      <c r="V55" s="49">
        <v>15087</v>
      </c>
      <c r="W55" s="42">
        <v>44857</v>
      </c>
      <c r="X55" s="82">
        <f>IF(InvoiceTable[[#This Row],[Invoice Date]]="","",WORKDAY(InvoiceTable[[#This Row],[Invoice Date]],14))</f>
        <v>44875</v>
      </c>
      <c r="Y55" s="26" t="s">
        <v>306</v>
      </c>
      <c r="Z55" s="83"/>
      <c r="AA55" s="40">
        <f>InvoiceTable[[#This Row],[Net Amount]]*InvoiceTable[[#This Row],[VAT]]</f>
        <v>686.47</v>
      </c>
      <c r="AB55" s="40">
        <f t="shared" si="5"/>
        <v>1806.5</v>
      </c>
      <c r="AC55" s="26"/>
      <c r="AD55" s="43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</row>
    <row r="56" spans="2:49" x14ac:dyDescent="0.25">
      <c r="B56" s="26" t="s">
        <v>65</v>
      </c>
      <c r="C56" s="26" t="s">
        <v>82</v>
      </c>
      <c r="D56" s="48" t="s">
        <v>60</v>
      </c>
      <c r="E56" s="48" t="s">
        <v>61</v>
      </c>
      <c r="F56" s="48" t="s">
        <v>57</v>
      </c>
      <c r="G56" s="48" t="s">
        <v>108</v>
      </c>
      <c r="H56" s="66">
        <v>0.2</v>
      </c>
      <c r="I56" s="26" t="s">
        <v>250</v>
      </c>
      <c r="J56" s="43">
        <v>44768</v>
      </c>
      <c r="K56" s="28">
        <v>4794</v>
      </c>
      <c r="L56" s="26" t="s">
        <v>311</v>
      </c>
      <c r="M56" s="43">
        <v>44799</v>
      </c>
      <c r="N56" s="28">
        <v>4300</v>
      </c>
      <c r="O56" s="26" t="s">
        <v>249</v>
      </c>
      <c r="P56" s="43">
        <v>44830</v>
      </c>
      <c r="Q56" s="28">
        <v>4500</v>
      </c>
      <c r="R56" s="6">
        <f>InvoiceTable[[#This Row],[Amount Line 1]]+InvoiceTable[[#This Row],[Amount Line 2]]+InvoiceTable[[#This Row],[Amount Line 3]]</f>
        <v>13594</v>
      </c>
      <c r="S56" s="41"/>
      <c r="T56" s="40">
        <f>InvoiceTable[[#This Row],[Agreed Amount Total]]+InvoiceTable[[#This Row],[Additional Expenses]]</f>
        <v>13594</v>
      </c>
      <c r="U56" s="40">
        <f>InvoiceTable[[#This Row],[Net Amount]]+InvoiceTable[[#This Row],[VAT to Pay]]</f>
        <v>16312.8</v>
      </c>
      <c r="V56" s="49">
        <v>15088</v>
      </c>
      <c r="W56" s="42">
        <v>44857</v>
      </c>
      <c r="X56" s="82">
        <f>IF(InvoiceTable[[#This Row],[Invoice Date]]="","",WORKDAY(InvoiceTable[[#This Row],[Invoice Date]],14))</f>
        <v>44875</v>
      </c>
      <c r="Y56" s="26" t="s">
        <v>306</v>
      </c>
      <c r="Z56" s="83"/>
      <c r="AA56" s="40">
        <f>InvoiceTable[[#This Row],[Net Amount]]*InvoiceTable[[#This Row],[VAT]]</f>
        <v>2718.8</v>
      </c>
      <c r="AB56" s="40">
        <f t="shared" si="5"/>
        <v>6797</v>
      </c>
      <c r="AC56" s="26"/>
      <c r="AD56" s="43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</row>
    <row r="57" spans="2:49" ht="54.6" customHeight="1" x14ac:dyDescent="0.25">
      <c r="B57" s="85" t="s">
        <v>386</v>
      </c>
      <c r="C57" s="26"/>
      <c r="D57" s="48"/>
      <c r="E57" s="48"/>
      <c r="F57" s="48"/>
      <c r="G57" s="48"/>
      <c r="H57" s="66"/>
      <c r="I57" s="26"/>
      <c r="J57" s="26"/>
      <c r="K57" s="28"/>
      <c r="L57" s="26"/>
      <c r="M57" s="26"/>
      <c r="N57" s="28"/>
      <c r="O57" s="26"/>
      <c r="P57" s="26"/>
      <c r="Q57" s="28"/>
      <c r="R57" s="6">
        <f>InvoiceTable[[#This Row],[Amount Line 1]]+InvoiceTable[[#This Row],[Amount Line 2]]+InvoiceTable[[#This Row],[Amount Line 3]]</f>
        <v>0</v>
      </c>
      <c r="S57" s="41"/>
      <c r="T57" s="40">
        <f>InvoiceTable[[#This Row],[Agreed Amount Total]]+InvoiceTable[[#This Row],[Additional Expenses]]</f>
        <v>0</v>
      </c>
      <c r="U57" s="40">
        <f>InvoiceTable[[#This Row],[Net Amount]]+InvoiceTable[[#This Row],[VAT to Pay]]</f>
        <v>0</v>
      </c>
      <c r="V57" s="49"/>
      <c r="W57" s="49"/>
      <c r="X57" s="82" t="str">
        <f>IF(InvoiceTable[[#This Row],[Invoice Date]]="","",WORKDAY(InvoiceTable[[#This Row],[Invoice Date]],14))</f>
        <v/>
      </c>
      <c r="Y57" s="26"/>
      <c r="Z57" s="83"/>
      <c r="AA57" s="40">
        <f>InvoiceTable[[#This Row],[Net Amount]]*InvoiceTable[[#This Row],[VAT]]</f>
        <v>0</v>
      </c>
      <c r="AB57" s="40">
        <f t="shared" si="5"/>
        <v>0</v>
      </c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</row>
    <row r="58" spans="2:49" x14ac:dyDescent="0.25">
      <c r="B58" s="26"/>
      <c r="C58" s="26"/>
      <c r="D58" s="26"/>
      <c r="E58" s="26"/>
      <c r="F58" s="26"/>
      <c r="G58" s="50"/>
      <c r="H58" s="26"/>
      <c r="I58" s="26"/>
      <c r="J58" s="28"/>
      <c r="K58" s="26"/>
      <c r="L58" s="26"/>
      <c r="M58" s="28"/>
      <c r="N58" s="26"/>
      <c r="O58" s="26"/>
      <c r="P58" s="28"/>
      <c r="Q58" s="26"/>
      <c r="R58" s="26"/>
      <c r="S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</row>
    <row r="59" spans="2:49" x14ac:dyDescent="0.25">
      <c r="B59" s="26"/>
      <c r="C59" s="26"/>
      <c r="D59" s="26"/>
      <c r="E59" s="26"/>
      <c r="F59" s="26"/>
      <c r="G59" s="50"/>
      <c r="H59" s="26"/>
      <c r="I59" s="26"/>
      <c r="J59" s="28"/>
      <c r="K59" s="26"/>
      <c r="L59" s="26"/>
      <c r="M59" s="28"/>
      <c r="N59" s="26"/>
      <c r="O59" s="26"/>
      <c r="P59" s="28"/>
      <c r="Q59" s="26"/>
      <c r="R59" s="26"/>
      <c r="S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</row>
    <row r="60" spans="2:49" x14ac:dyDescent="0.25">
      <c r="B60" s="26"/>
      <c r="C60" s="26"/>
      <c r="D60" s="26"/>
      <c r="E60" s="26"/>
      <c r="F60" s="26"/>
      <c r="G60" s="50"/>
      <c r="H60" s="26"/>
      <c r="I60" s="26"/>
      <c r="J60" s="28"/>
      <c r="K60" s="26"/>
      <c r="L60" s="26"/>
      <c r="M60" s="28"/>
      <c r="N60" s="26"/>
      <c r="O60" s="26"/>
      <c r="P60" s="28"/>
      <c r="Q60" s="26"/>
      <c r="R60" s="26"/>
      <c r="S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</row>
    <row r="61" spans="2:49" x14ac:dyDescent="0.25">
      <c r="B61" s="26"/>
      <c r="C61" s="26"/>
      <c r="D61" s="26"/>
      <c r="E61" s="26"/>
      <c r="F61" s="26"/>
      <c r="G61" s="50"/>
      <c r="H61" s="26"/>
      <c r="I61" s="26"/>
      <c r="J61" s="28"/>
      <c r="K61" s="26"/>
      <c r="L61" s="26"/>
      <c r="M61" s="28"/>
      <c r="N61" s="26"/>
      <c r="O61" s="26"/>
      <c r="P61" s="28"/>
      <c r="Q61" s="26"/>
      <c r="R61" s="26"/>
      <c r="S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</row>
    <row r="62" spans="2:49" x14ac:dyDescent="0.25">
      <c r="B62" s="26"/>
      <c r="C62" s="26"/>
      <c r="D62" s="26"/>
      <c r="E62" s="26"/>
      <c r="F62" s="26"/>
      <c r="G62" s="50"/>
      <c r="H62" s="26"/>
      <c r="I62" s="26"/>
      <c r="J62" s="28"/>
      <c r="K62" s="26"/>
      <c r="L62" s="26"/>
      <c r="M62" s="28"/>
      <c r="N62" s="26"/>
      <c r="O62" s="26"/>
      <c r="P62" s="28"/>
      <c r="Q62" s="26"/>
      <c r="R62" s="26"/>
      <c r="S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</row>
    <row r="63" spans="2:49" x14ac:dyDescent="0.25">
      <c r="B63" s="26"/>
      <c r="C63" s="26"/>
      <c r="D63" s="26"/>
      <c r="E63" s="26"/>
      <c r="F63" s="26"/>
      <c r="G63" s="50"/>
      <c r="H63" s="26"/>
      <c r="I63" s="26"/>
      <c r="J63" s="28"/>
      <c r="K63" s="26"/>
      <c r="L63" s="26"/>
      <c r="M63" s="28"/>
      <c r="N63" s="26"/>
      <c r="O63" s="26"/>
      <c r="P63" s="28"/>
      <c r="Q63" s="26"/>
      <c r="R63" s="26"/>
      <c r="S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</row>
    <row r="64" spans="2:49" x14ac:dyDescent="0.25">
      <c r="B64" s="26"/>
      <c r="C64" s="26"/>
      <c r="D64" s="26"/>
      <c r="E64" s="26"/>
      <c r="F64" s="26"/>
      <c r="G64" s="50"/>
      <c r="H64" s="26"/>
      <c r="I64" s="26"/>
      <c r="J64" s="28"/>
      <c r="K64" s="26"/>
      <c r="L64" s="26"/>
      <c r="M64" s="28"/>
      <c r="N64" s="26"/>
      <c r="O64" s="26"/>
      <c r="P64" s="28"/>
      <c r="Q64" s="26"/>
      <c r="R64" s="26"/>
      <c r="S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</row>
    <row r="65" spans="2:49" x14ac:dyDescent="0.25">
      <c r="B65" s="26"/>
      <c r="C65" s="26"/>
      <c r="D65" s="26"/>
      <c r="E65" s="26"/>
      <c r="F65" s="26"/>
      <c r="G65" s="50"/>
      <c r="H65" s="26"/>
      <c r="I65" s="26"/>
      <c r="J65" s="28"/>
      <c r="K65" s="26"/>
      <c r="L65" s="26"/>
      <c r="M65" s="28"/>
      <c r="N65" s="26"/>
      <c r="O65" s="26"/>
      <c r="P65" s="28"/>
      <c r="Q65" s="26"/>
      <c r="R65" s="26"/>
      <c r="S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</row>
    <row r="66" spans="2:49" x14ac:dyDescent="0.25">
      <c r="B66" s="26"/>
      <c r="C66" s="26"/>
      <c r="D66" s="26"/>
      <c r="E66" s="26"/>
      <c r="F66" s="26"/>
      <c r="G66" s="50"/>
      <c r="H66" s="26"/>
      <c r="I66" s="26"/>
      <c r="J66" s="28"/>
      <c r="K66" s="26"/>
      <c r="L66" s="26"/>
      <c r="M66" s="28"/>
      <c r="N66" s="26"/>
      <c r="O66" s="26"/>
      <c r="P66" s="28"/>
      <c r="Q66" s="26"/>
      <c r="R66" s="26"/>
      <c r="S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</row>
    <row r="67" spans="2:49" x14ac:dyDescent="0.25">
      <c r="B67" s="26"/>
      <c r="C67" s="26"/>
      <c r="D67" s="26"/>
      <c r="E67" s="26"/>
      <c r="F67" s="26"/>
      <c r="G67" s="50"/>
      <c r="H67" s="26"/>
      <c r="I67" s="26"/>
      <c r="J67" s="28"/>
      <c r="K67" s="26"/>
      <c r="L67" s="26"/>
      <c r="M67" s="28"/>
      <c r="N67" s="26"/>
      <c r="O67" s="26"/>
      <c r="P67" s="28"/>
      <c r="Q67" s="26"/>
      <c r="R67" s="26"/>
      <c r="S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</row>
    <row r="68" spans="2:49" x14ac:dyDescent="0.25">
      <c r="B68" s="26"/>
      <c r="C68" s="26"/>
      <c r="D68" s="26"/>
      <c r="E68" s="26"/>
      <c r="F68" s="26"/>
      <c r="G68" s="50"/>
      <c r="H68" s="26"/>
      <c r="I68" s="26"/>
      <c r="J68" s="28"/>
      <c r="K68" s="26"/>
      <c r="L68" s="26"/>
      <c r="M68" s="28"/>
      <c r="N68" s="26"/>
      <c r="O68" s="26"/>
      <c r="P68" s="28"/>
      <c r="Q68" s="26"/>
      <c r="R68" s="26"/>
      <c r="S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</row>
    <row r="69" spans="2:49" x14ac:dyDescent="0.25">
      <c r="B69" s="26"/>
      <c r="C69" s="26"/>
      <c r="D69" s="26"/>
      <c r="E69" s="26"/>
      <c r="F69" s="26"/>
      <c r="G69" s="50"/>
      <c r="H69" s="26"/>
      <c r="I69" s="26"/>
      <c r="J69" s="28"/>
      <c r="K69" s="26"/>
      <c r="L69" s="26"/>
      <c r="M69" s="28"/>
      <c r="N69" s="26"/>
      <c r="O69" s="26"/>
      <c r="P69" s="28"/>
      <c r="Q69" s="26"/>
      <c r="R69" s="26"/>
      <c r="S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</row>
    <row r="70" spans="2:49" x14ac:dyDescent="0.25">
      <c r="B70" s="26"/>
      <c r="C70" s="26"/>
      <c r="D70" s="26"/>
      <c r="E70" s="26"/>
      <c r="F70" s="26"/>
      <c r="G70" s="50"/>
      <c r="H70" s="26"/>
      <c r="I70" s="26"/>
      <c r="J70" s="28"/>
      <c r="K70" s="26"/>
      <c r="L70" s="26"/>
      <c r="M70" s="28"/>
      <c r="N70" s="26"/>
      <c r="O70" s="26"/>
      <c r="P70" s="28"/>
      <c r="Q70" s="26"/>
      <c r="R70" s="26"/>
      <c r="S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</row>
    <row r="71" spans="2:49" x14ac:dyDescent="0.25">
      <c r="B71" s="26"/>
      <c r="C71" s="26"/>
      <c r="D71" s="26"/>
      <c r="E71" s="26"/>
      <c r="F71" s="26"/>
      <c r="G71" s="50"/>
      <c r="H71" s="26"/>
      <c r="I71" s="26"/>
      <c r="J71" s="28"/>
      <c r="K71" s="26"/>
      <c r="L71" s="26"/>
      <c r="M71" s="28"/>
      <c r="N71" s="26"/>
      <c r="O71" s="26"/>
      <c r="P71" s="28"/>
      <c r="Q71" s="26"/>
      <c r="R71" s="26"/>
      <c r="S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</row>
    <row r="72" spans="2:49" x14ac:dyDescent="0.25">
      <c r="B72" s="26"/>
      <c r="C72" s="26"/>
      <c r="D72" s="26"/>
      <c r="E72" s="26"/>
      <c r="F72" s="26"/>
      <c r="G72" s="50"/>
      <c r="H72" s="26"/>
      <c r="I72" s="26"/>
      <c r="J72" s="28"/>
      <c r="K72" s="26"/>
      <c r="L72" s="26"/>
      <c r="M72" s="28"/>
      <c r="N72" s="26"/>
      <c r="O72" s="26"/>
      <c r="P72" s="28"/>
      <c r="Q72" s="26"/>
      <c r="R72" s="26"/>
      <c r="S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</row>
    <row r="73" spans="2:49" x14ac:dyDescent="0.25">
      <c r="B73" s="26"/>
      <c r="C73" s="26"/>
      <c r="D73" s="26"/>
      <c r="E73" s="26"/>
      <c r="F73" s="26"/>
      <c r="G73" s="50"/>
      <c r="H73" s="26"/>
      <c r="I73" s="26"/>
      <c r="J73" s="28"/>
      <c r="K73" s="26"/>
      <c r="L73" s="26"/>
      <c r="M73" s="28"/>
      <c r="N73" s="26"/>
      <c r="O73" s="26"/>
      <c r="P73" s="28"/>
      <c r="Q73" s="26"/>
      <c r="R73" s="26"/>
      <c r="S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</row>
    <row r="74" spans="2:49" x14ac:dyDescent="0.25">
      <c r="B74" s="26"/>
      <c r="C74" s="26"/>
      <c r="D74" s="26"/>
      <c r="E74" s="26"/>
      <c r="F74" s="26"/>
      <c r="G74" s="50"/>
      <c r="H74" s="26"/>
      <c r="I74" s="26"/>
      <c r="J74" s="28"/>
      <c r="K74" s="26"/>
      <c r="L74" s="26"/>
      <c r="M74" s="28"/>
      <c r="N74" s="26"/>
      <c r="O74" s="26"/>
      <c r="P74" s="28"/>
      <c r="Q74" s="26"/>
      <c r="R74" s="26"/>
      <c r="S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</row>
    <row r="75" spans="2:49" x14ac:dyDescent="0.25">
      <c r="B75" s="26"/>
      <c r="C75" s="26"/>
      <c r="D75" s="26"/>
      <c r="E75" s="26"/>
      <c r="F75" s="26"/>
      <c r="G75" s="50"/>
      <c r="H75" s="26"/>
      <c r="I75" s="26"/>
      <c r="J75" s="28"/>
      <c r="K75" s="26"/>
      <c r="L75" s="26"/>
      <c r="M75" s="28"/>
      <c r="N75" s="26"/>
      <c r="O75" s="26"/>
      <c r="P75" s="28"/>
      <c r="Q75" s="26"/>
      <c r="R75" s="26"/>
      <c r="S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</row>
    <row r="76" spans="2:49" x14ac:dyDescent="0.25">
      <c r="B76" s="26"/>
      <c r="C76" s="26"/>
      <c r="D76" s="26"/>
      <c r="E76" s="26"/>
      <c r="F76" s="26"/>
      <c r="G76" s="50"/>
      <c r="H76" s="26"/>
      <c r="I76" s="26"/>
      <c r="J76" s="28"/>
      <c r="K76" s="26"/>
      <c r="L76" s="26"/>
      <c r="M76" s="28"/>
      <c r="N76" s="26"/>
      <c r="O76" s="26"/>
      <c r="P76" s="28"/>
      <c r="Q76" s="26"/>
      <c r="R76" s="26"/>
      <c r="S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</row>
    <row r="77" spans="2:49" x14ac:dyDescent="0.25">
      <c r="B77" s="26"/>
      <c r="C77" s="26"/>
      <c r="D77" s="26"/>
      <c r="E77" s="26"/>
      <c r="F77" s="26"/>
      <c r="G77" s="50"/>
      <c r="H77" s="26"/>
      <c r="I77" s="26"/>
      <c r="J77" s="28"/>
      <c r="K77" s="26"/>
      <c r="L77" s="26"/>
      <c r="M77" s="28"/>
      <c r="N77" s="26"/>
      <c r="O77" s="26"/>
      <c r="P77" s="28"/>
      <c r="Q77" s="26"/>
      <c r="R77" s="26"/>
      <c r="S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</row>
    <row r="78" spans="2:49" x14ac:dyDescent="0.25">
      <c r="B78" s="26"/>
      <c r="C78" s="26"/>
      <c r="D78" s="26"/>
      <c r="E78" s="26"/>
      <c r="F78" s="26"/>
      <c r="G78" s="50"/>
      <c r="H78" s="26"/>
      <c r="I78" s="26"/>
      <c r="J78" s="28"/>
      <c r="K78" s="26"/>
      <c r="L78" s="26"/>
      <c r="M78" s="28"/>
      <c r="N78" s="26"/>
      <c r="O78" s="26"/>
      <c r="P78" s="28"/>
      <c r="Q78" s="26"/>
      <c r="R78" s="26"/>
      <c r="S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</row>
    <row r="79" spans="2:49" x14ac:dyDescent="0.25">
      <c r="B79" s="26"/>
      <c r="C79" s="26"/>
      <c r="D79" s="26"/>
      <c r="E79" s="26"/>
      <c r="F79" s="26"/>
      <c r="G79" s="50"/>
      <c r="H79" s="26"/>
      <c r="I79" s="26"/>
      <c r="J79" s="28"/>
      <c r="K79" s="26"/>
      <c r="L79" s="26"/>
      <c r="M79" s="28"/>
      <c r="N79" s="26"/>
      <c r="O79" s="26"/>
      <c r="P79" s="28"/>
      <c r="Q79" s="26"/>
      <c r="R79" s="26"/>
      <c r="S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</row>
    <row r="80" spans="2:49" x14ac:dyDescent="0.25">
      <c r="B80" s="26"/>
      <c r="C80" s="26"/>
      <c r="D80" s="26"/>
      <c r="E80" s="26"/>
      <c r="F80" s="26"/>
      <c r="G80" s="50"/>
      <c r="H80" s="26"/>
      <c r="I80" s="26"/>
      <c r="J80" s="28"/>
      <c r="K80" s="26"/>
      <c r="L80" s="26"/>
      <c r="M80" s="28"/>
      <c r="N80" s="26"/>
      <c r="O80" s="26"/>
      <c r="P80" s="28"/>
      <c r="Q80" s="26"/>
      <c r="R80" s="26"/>
      <c r="S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</row>
    <row r="81" spans="2:49" x14ac:dyDescent="0.25">
      <c r="B81" s="26"/>
      <c r="C81" s="26"/>
      <c r="D81" s="26"/>
      <c r="E81" s="26"/>
      <c r="F81" s="26"/>
      <c r="G81" s="50"/>
      <c r="H81" s="26"/>
      <c r="I81" s="26"/>
      <c r="J81" s="28"/>
      <c r="K81" s="26"/>
      <c r="L81" s="26"/>
      <c r="M81" s="28"/>
      <c r="N81" s="26"/>
      <c r="O81" s="26"/>
      <c r="P81" s="28"/>
      <c r="Q81" s="26"/>
      <c r="R81" s="26"/>
      <c r="S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</row>
    <row r="82" spans="2:49" x14ac:dyDescent="0.25">
      <c r="B82" s="26"/>
      <c r="C82" s="26"/>
      <c r="D82" s="26"/>
      <c r="E82" s="26"/>
      <c r="F82" s="26"/>
      <c r="G82" s="50"/>
      <c r="H82" s="26"/>
      <c r="I82" s="26"/>
      <c r="J82" s="28"/>
      <c r="K82" s="26"/>
      <c r="L82" s="26"/>
      <c r="M82" s="28"/>
      <c r="N82" s="26"/>
      <c r="O82" s="26"/>
      <c r="P82" s="28"/>
      <c r="Q82" s="26"/>
      <c r="R82" s="26"/>
      <c r="S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</row>
    <row r="83" spans="2:49" x14ac:dyDescent="0.25">
      <c r="B83" s="26"/>
      <c r="C83" s="26"/>
      <c r="D83" s="26"/>
      <c r="E83" s="26"/>
      <c r="F83" s="26"/>
      <c r="G83" s="50"/>
      <c r="H83" s="26"/>
      <c r="I83" s="26"/>
      <c r="J83" s="28"/>
      <c r="K83" s="26"/>
      <c r="L83" s="26"/>
      <c r="M83" s="28"/>
      <c r="N83" s="26"/>
      <c r="O83" s="26"/>
      <c r="P83" s="28"/>
      <c r="Q83" s="26"/>
      <c r="R83" s="26"/>
      <c r="S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</row>
    <row r="84" spans="2:49" x14ac:dyDescent="0.25">
      <c r="B84" s="26"/>
      <c r="C84" s="26"/>
      <c r="D84" s="26"/>
      <c r="E84" s="26"/>
      <c r="F84" s="26"/>
      <c r="G84" s="50"/>
      <c r="H84" s="26"/>
      <c r="I84" s="26"/>
      <c r="J84" s="28"/>
      <c r="K84" s="26"/>
      <c r="L84" s="26"/>
      <c r="M84" s="28"/>
      <c r="N84" s="26"/>
      <c r="O84" s="26"/>
      <c r="P84" s="28"/>
      <c r="Q84" s="26"/>
      <c r="R84" s="26"/>
      <c r="S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</row>
    <row r="85" spans="2:49" x14ac:dyDescent="0.25">
      <c r="B85" s="26"/>
      <c r="C85" s="26"/>
      <c r="D85" s="26"/>
      <c r="E85" s="26"/>
      <c r="F85" s="26"/>
      <c r="G85" s="50"/>
      <c r="H85" s="26"/>
      <c r="I85" s="26"/>
      <c r="J85" s="28"/>
      <c r="K85" s="26"/>
      <c r="L85" s="26"/>
      <c r="M85" s="28"/>
      <c r="N85" s="26"/>
      <c r="O85" s="26"/>
      <c r="P85" s="28"/>
      <c r="Q85" s="26"/>
      <c r="R85" s="26"/>
      <c r="S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</row>
    <row r="86" spans="2:49" x14ac:dyDescent="0.25">
      <c r="B86" s="26"/>
      <c r="C86" s="26"/>
      <c r="D86" s="26"/>
      <c r="E86" s="26"/>
      <c r="F86" s="26"/>
      <c r="G86" s="50"/>
      <c r="H86" s="26"/>
      <c r="I86" s="26"/>
      <c r="J86" s="28"/>
      <c r="K86" s="26"/>
      <c r="L86" s="26"/>
      <c r="M86" s="28"/>
      <c r="N86" s="26"/>
      <c r="O86" s="26"/>
      <c r="P86" s="28"/>
      <c r="Q86" s="26"/>
      <c r="R86" s="26"/>
      <c r="S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</row>
    <row r="87" spans="2:49" x14ac:dyDescent="0.25">
      <c r="B87" s="26"/>
      <c r="C87" s="26"/>
      <c r="D87" s="26"/>
      <c r="E87" s="26"/>
      <c r="F87" s="26"/>
      <c r="G87" s="50"/>
      <c r="H87" s="26"/>
      <c r="I87" s="26"/>
      <c r="J87" s="28"/>
      <c r="K87" s="26"/>
      <c r="L87" s="26"/>
      <c r="M87" s="28"/>
      <c r="N87" s="26"/>
      <c r="O87" s="26"/>
      <c r="P87" s="28"/>
      <c r="Q87" s="26"/>
      <c r="R87" s="26"/>
      <c r="S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</row>
    <row r="88" spans="2:49" x14ac:dyDescent="0.25">
      <c r="B88" s="26"/>
      <c r="C88" s="26"/>
      <c r="D88" s="26"/>
      <c r="E88" s="26"/>
      <c r="F88" s="26"/>
      <c r="G88" s="50"/>
      <c r="H88" s="26"/>
      <c r="I88" s="26"/>
      <c r="J88" s="28"/>
      <c r="K88" s="26"/>
      <c r="L88" s="26"/>
      <c r="M88" s="28"/>
      <c r="N88" s="26"/>
      <c r="O88" s="26"/>
      <c r="P88" s="28"/>
      <c r="Q88" s="26"/>
      <c r="R88" s="26"/>
      <c r="S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</row>
    <row r="89" spans="2:49" x14ac:dyDescent="0.25">
      <c r="B89" s="26"/>
      <c r="C89" s="26"/>
      <c r="D89" s="26"/>
      <c r="E89" s="26"/>
      <c r="F89" s="26"/>
      <c r="G89" s="50"/>
      <c r="H89" s="26"/>
      <c r="I89" s="26"/>
      <c r="J89" s="28"/>
      <c r="K89" s="26"/>
      <c r="L89" s="26"/>
      <c r="M89" s="28"/>
      <c r="N89" s="26"/>
      <c r="O89" s="26"/>
      <c r="P89" s="28"/>
      <c r="Q89" s="26"/>
      <c r="R89" s="26"/>
      <c r="S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</row>
    <row r="90" spans="2:49" x14ac:dyDescent="0.25">
      <c r="B90" s="26"/>
      <c r="C90" s="26"/>
      <c r="D90" s="26"/>
      <c r="E90" s="26"/>
      <c r="F90" s="26"/>
      <c r="G90" s="50"/>
      <c r="H90" s="26"/>
      <c r="I90" s="26"/>
      <c r="J90" s="28"/>
      <c r="K90" s="26"/>
      <c r="L90" s="26"/>
      <c r="M90" s="28"/>
      <c r="N90" s="26"/>
      <c r="O90" s="26"/>
      <c r="P90" s="28"/>
      <c r="Q90" s="26"/>
      <c r="R90" s="26"/>
      <c r="S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</row>
    <row r="91" spans="2:49" x14ac:dyDescent="0.25">
      <c r="B91" s="26"/>
      <c r="C91" s="26"/>
      <c r="D91" s="26"/>
      <c r="E91" s="26"/>
      <c r="F91" s="26"/>
      <c r="G91" s="50"/>
      <c r="H91" s="26"/>
      <c r="I91" s="26"/>
      <c r="J91" s="28"/>
      <c r="K91" s="26"/>
      <c r="L91" s="26"/>
      <c r="M91" s="28"/>
      <c r="N91" s="26"/>
      <c r="O91" s="26"/>
      <c r="P91" s="28"/>
      <c r="Q91" s="26"/>
      <c r="R91" s="26"/>
      <c r="S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</row>
    <row r="92" spans="2:49" x14ac:dyDescent="0.25">
      <c r="B92" s="26"/>
      <c r="C92" s="26"/>
      <c r="D92" s="26"/>
      <c r="E92" s="26"/>
      <c r="F92" s="26"/>
      <c r="G92" s="50"/>
      <c r="H92" s="26"/>
      <c r="I92" s="26"/>
      <c r="J92" s="28"/>
      <c r="K92" s="26"/>
      <c r="L92" s="26"/>
      <c r="M92" s="28"/>
      <c r="N92" s="26"/>
      <c r="O92" s="26"/>
      <c r="P92" s="28"/>
      <c r="Q92" s="26"/>
      <c r="R92" s="26"/>
      <c r="S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</row>
    <row r="93" spans="2:49" x14ac:dyDescent="0.25">
      <c r="B93" s="26"/>
      <c r="C93" s="26"/>
      <c r="D93" s="26"/>
      <c r="E93" s="26"/>
      <c r="F93" s="26"/>
      <c r="G93" s="50"/>
      <c r="H93" s="26"/>
      <c r="I93" s="26"/>
      <c r="J93" s="28"/>
      <c r="K93" s="26"/>
      <c r="L93" s="26"/>
      <c r="M93" s="28"/>
      <c r="N93" s="26"/>
      <c r="O93" s="26"/>
      <c r="P93" s="28"/>
      <c r="Q93" s="26"/>
      <c r="R93" s="26"/>
      <c r="S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</row>
    <row r="94" spans="2:49" x14ac:dyDescent="0.25">
      <c r="B94" s="26"/>
      <c r="C94" s="26"/>
      <c r="D94" s="26"/>
      <c r="E94" s="26"/>
      <c r="F94" s="26"/>
      <c r="G94" s="50"/>
      <c r="H94" s="26"/>
      <c r="I94" s="26"/>
      <c r="J94" s="28"/>
      <c r="K94" s="26"/>
      <c r="L94" s="26"/>
      <c r="M94" s="28"/>
      <c r="N94" s="26"/>
      <c r="O94" s="26"/>
      <c r="P94" s="28"/>
      <c r="Q94" s="26"/>
      <c r="R94" s="26"/>
      <c r="S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</row>
    <row r="95" spans="2:49" x14ac:dyDescent="0.25">
      <c r="B95" s="26"/>
      <c r="C95" s="26"/>
      <c r="D95" s="26"/>
      <c r="E95" s="26"/>
      <c r="F95" s="26"/>
      <c r="G95" s="50"/>
      <c r="H95" s="26"/>
      <c r="I95" s="26"/>
      <c r="J95" s="28"/>
      <c r="K95" s="26"/>
      <c r="L95" s="26"/>
      <c r="M95" s="28"/>
      <c r="N95" s="26"/>
      <c r="O95" s="26"/>
      <c r="P95" s="28"/>
      <c r="Q95" s="26"/>
      <c r="R95" s="26"/>
      <c r="S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</row>
    <row r="96" spans="2:49" x14ac:dyDescent="0.25">
      <c r="B96" s="26"/>
      <c r="C96" s="26"/>
      <c r="D96" s="26"/>
      <c r="E96" s="26"/>
      <c r="F96" s="26"/>
      <c r="G96" s="50"/>
      <c r="H96" s="26"/>
      <c r="I96" s="26"/>
      <c r="J96" s="28"/>
      <c r="K96" s="26"/>
      <c r="L96" s="26"/>
      <c r="M96" s="28"/>
      <c r="N96" s="26"/>
      <c r="O96" s="26"/>
      <c r="P96" s="28"/>
      <c r="Q96" s="26"/>
      <c r="R96" s="26"/>
      <c r="S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</row>
    <row r="97" spans="2:49" x14ac:dyDescent="0.25">
      <c r="B97" s="26"/>
      <c r="C97" s="26"/>
      <c r="D97" s="26"/>
      <c r="E97" s="26"/>
      <c r="F97" s="26"/>
      <c r="G97" s="50"/>
      <c r="H97" s="26"/>
      <c r="I97" s="26"/>
      <c r="J97" s="28"/>
      <c r="K97" s="26"/>
      <c r="L97" s="26"/>
      <c r="M97" s="28"/>
      <c r="N97" s="26"/>
      <c r="O97" s="26"/>
      <c r="P97" s="28"/>
      <c r="Q97" s="26"/>
      <c r="R97" s="26"/>
      <c r="S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</row>
    <row r="98" spans="2:49" x14ac:dyDescent="0.25">
      <c r="B98" s="26"/>
      <c r="C98" s="26"/>
      <c r="D98" s="26"/>
      <c r="E98" s="26"/>
      <c r="F98" s="26"/>
      <c r="G98" s="50"/>
      <c r="H98" s="26"/>
      <c r="I98" s="26"/>
      <c r="J98" s="28"/>
      <c r="K98" s="26"/>
      <c r="L98" s="26"/>
      <c r="M98" s="28"/>
      <c r="N98" s="26"/>
      <c r="O98" s="26"/>
      <c r="P98" s="28"/>
      <c r="Q98" s="26"/>
      <c r="R98" s="26"/>
      <c r="S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</row>
    <row r="99" spans="2:49" x14ac:dyDescent="0.25">
      <c r="B99" s="26"/>
      <c r="C99" s="26"/>
      <c r="D99" s="26"/>
      <c r="E99" s="26"/>
      <c r="F99" s="26"/>
      <c r="G99" s="50"/>
      <c r="H99" s="26"/>
      <c r="I99" s="26"/>
      <c r="J99" s="28"/>
      <c r="K99" s="26"/>
      <c r="L99" s="26"/>
      <c r="M99" s="28"/>
      <c r="N99" s="26"/>
      <c r="O99" s="26"/>
      <c r="P99" s="28"/>
      <c r="Q99" s="26"/>
      <c r="R99" s="26"/>
      <c r="S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</row>
    <row r="100" spans="2:49" x14ac:dyDescent="0.25">
      <c r="B100" s="26"/>
      <c r="C100" s="26"/>
      <c r="D100" s="26"/>
      <c r="E100" s="26"/>
      <c r="F100" s="26"/>
      <c r="G100" s="50"/>
      <c r="H100" s="26"/>
      <c r="I100" s="26"/>
      <c r="J100" s="28"/>
      <c r="K100" s="26"/>
      <c r="L100" s="26"/>
      <c r="M100" s="28"/>
      <c r="N100" s="26"/>
      <c r="O100" s="26"/>
      <c r="P100" s="28"/>
      <c r="Q100" s="26"/>
      <c r="R100" s="26"/>
      <c r="S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</row>
    <row r="101" spans="2:49" x14ac:dyDescent="0.25">
      <c r="B101" s="26"/>
      <c r="C101" s="26"/>
      <c r="D101" s="26"/>
      <c r="E101" s="26"/>
      <c r="F101" s="26"/>
      <c r="G101" s="50"/>
      <c r="H101" s="26"/>
      <c r="I101" s="26"/>
      <c r="J101" s="28"/>
      <c r="K101" s="26"/>
      <c r="L101" s="26"/>
      <c r="M101" s="28"/>
      <c r="N101" s="26"/>
      <c r="O101" s="26"/>
      <c r="P101" s="28"/>
      <c r="Q101" s="26"/>
      <c r="R101" s="26"/>
      <c r="S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</row>
    <row r="102" spans="2:49" x14ac:dyDescent="0.25">
      <c r="B102" s="26"/>
      <c r="C102" s="26"/>
      <c r="D102" s="26"/>
      <c r="E102" s="26"/>
      <c r="F102" s="26"/>
      <c r="G102" s="50"/>
      <c r="H102" s="26"/>
      <c r="I102" s="26"/>
      <c r="J102" s="28"/>
      <c r="K102" s="26"/>
      <c r="L102" s="26"/>
      <c r="M102" s="28"/>
      <c r="N102" s="26"/>
      <c r="O102" s="26"/>
      <c r="P102" s="28"/>
      <c r="Q102" s="26"/>
      <c r="R102" s="26"/>
      <c r="S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</row>
    <row r="103" spans="2:49" x14ac:dyDescent="0.25">
      <c r="B103" s="26"/>
      <c r="C103" s="26"/>
      <c r="D103" s="26"/>
      <c r="E103" s="26"/>
      <c r="F103" s="26"/>
      <c r="G103" s="50"/>
      <c r="H103" s="26"/>
      <c r="I103" s="26"/>
      <c r="J103" s="28"/>
      <c r="K103" s="26"/>
      <c r="L103" s="26"/>
      <c r="M103" s="28"/>
      <c r="N103" s="26"/>
      <c r="O103" s="26"/>
      <c r="P103" s="28"/>
      <c r="Q103" s="26"/>
      <c r="R103" s="26"/>
      <c r="S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</row>
    <row r="104" spans="2:49" x14ac:dyDescent="0.25">
      <c r="B104" s="26"/>
      <c r="C104" s="26"/>
      <c r="D104" s="26"/>
      <c r="E104" s="26"/>
      <c r="F104" s="26"/>
      <c r="G104" s="50"/>
      <c r="H104" s="26"/>
      <c r="I104" s="26"/>
      <c r="J104" s="28"/>
      <c r="K104" s="26"/>
      <c r="L104" s="26"/>
      <c r="M104" s="28"/>
      <c r="N104" s="26"/>
      <c r="O104" s="26"/>
      <c r="P104" s="28"/>
      <c r="Q104" s="26"/>
      <c r="R104" s="26"/>
      <c r="S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</row>
    <row r="105" spans="2:49" x14ac:dyDescent="0.25">
      <c r="B105" s="26"/>
      <c r="C105" s="26"/>
      <c r="D105" s="26"/>
      <c r="E105" s="26"/>
      <c r="F105" s="26"/>
      <c r="G105" s="50"/>
      <c r="H105" s="26"/>
      <c r="I105" s="26"/>
      <c r="J105" s="28"/>
      <c r="K105" s="26"/>
      <c r="L105" s="26"/>
      <c r="M105" s="28"/>
      <c r="N105" s="26"/>
      <c r="O105" s="26"/>
      <c r="P105" s="28"/>
      <c r="Q105" s="26"/>
      <c r="R105" s="26"/>
      <c r="S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</row>
    <row r="106" spans="2:49" x14ac:dyDescent="0.25">
      <c r="B106" s="26"/>
      <c r="C106" s="26"/>
      <c r="D106" s="26"/>
      <c r="E106" s="26"/>
      <c r="F106" s="26"/>
      <c r="G106" s="50"/>
      <c r="H106" s="26"/>
      <c r="I106" s="26"/>
      <c r="J106" s="28"/>
      <c r="K106" s="26"/>
      <c r="L106" s="26"/>
      <c r="M106" s="28"/>
      <c r="N106" s="26"/>
      <c r="O106" s="26"/>
      <c r="P106" s="28"/>
      <c r="Q106" s="26"/>
      <c r="R106" s="26"/>
      <c r="S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</row>
    <row r="107" spans="2:49" x14ac:dyDescent="0.25">
      <c r="B107" s="26"/>
      <c r="C107" s="26"/>
      <c r="D107" s="26"/>
      <c r="E107" s="26"/>
      <c r="F107" s="26"/>
      <c r="G107" s="50"/>
      <c r="H107" s="26"/>
      <c r="I107" s="26"/>
      <c r="J107" s="28"/>
      <c r="K107" s="26"/>
      <c r="L107" s="26"/>
      <c r="M107" s="28"/>
      <c r="N107" s="26"/>
      <c r="O107" s="26"/>
      <c r="P107" s="28"/>
      <c r="Q107" s="26"/>
      <c r="R107" s="26"/>
      <c r="S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</row>
    <row r="108" spans="2:49" x14ac:dyDescent="0.25">
      <c r="B108" s="26"/>
      <c r="C108" s="26"/>
      <c r="D108" s="26"/>
      <c r="E108" s="26"/>
      <c r="F108" s="26"/>
      <c r="G108" s="50"/>
      <c r="H108" s="26"/>
      <c r="I108" s="26"/>
      <c r="J108" s="28"/>
      <c r="K108" s="26"/>
      <c r="L108" s="26"/>
      <c r="M108" s="28"/>
      <c r="N108" s="26"/>
      <c r="O108" s="26"/>
      <c r="P108" s="28"/>
      <c r="Q108" s="26"/>
      <c r="R108" s="26"/>
      <c r="S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</row>
    <row r="109" spans="2:49" x14ac:dyDescent="0.25">
      <c r="B109" s="26"/>
      <c r="C109" s="26"/>
      <c r="D109" s="26"/>
      <c r="E109" s="26"/>
      <c r="F109" s="26"/>
      <c r="G109" s="50"/>
      <c r="H109" s="26"/>
      <c r="I109" s="26"/>
      <c r="J109" s="28"/>
      <c r="K109" s="26"/>
      <c r="L109" s="26"/>
      <c r="M109" s="28"/>
      <c r="N109" s="26"/>
      <c r="O109" s="26"/>
      <c r="P109" s="28"/>
      <c r="Q109" s="26"/>
      <c r="R109" s="26"/>
      <c r="S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</row>
    <row r="110" spans="2:49" x14ac:dyDescent="0.25">
      <c r="B110" s="26"/>
      <c r="C110" s="26"/>
      <c r="D110" s="26"/>
      <c r="E110" s="26"/>
      <c r="F110" s="26"/>
      <c r="G110" s="50"/>
      <c r="H110" s="26"/>
      <c r="I110" s="26"/>
      <c r="J110" s="28"/>
      <c r="K110" s="26"/>
      <c r="L110" s="26"/>
      <c r="M110" s="28"/>
      <c r="N110" s="26"/>
      <c r="O110" s="26"/>
      <c r="P110" s="28"/>
      <c r="Q110" s="26"/>
      <c r="R110" s="26"/>
      <c r="S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</row>
    <row r="111" spans="2:49" x14ac:dyDescent="0.25">
      <c r="B111" s="26"/>
      <c r="C111" s="26"/>
      <c r="D111" s="26"/>
      <c r="E111" s="26"/>
      <c r="F111" s="26"/>
      <c r="G111" s="50"/>
      <c r="H111" s="26"/>
      <c r="I111" s="26"/>
      <c r="J111" s="28"/>
      <c r="K111" s="26"/>
      <c r="L111" s="26"/>
      <c r="M111" s="28"/>
      <c r="N111" s="26"/>
      <c r="O111" s="26"/>
      <c r="P111" s="28"/>
      <c r="Q111" s="26"/>
      <c r="R111" s="26"/>
      <c r="S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</row>
    <row r="112" spans="2:49" x14ac:dyDescent="0.25">
      <c r="B112" s="26"/>
      <c r="C112" s="26"/>
      <c r="D112" s="26"/>
      <c r="E112" s="26"/>
      <c r="F112" s="26"/>
      <c r="G112" s="50"/>
      <c r="H112" s="26"/>
      <c r="I112" s="26"/>
      <c r="J112" s="28"/>
      <c r="K112" s="26"/>
      <c r="L112" s="26"/>
      <c r="M112" s="28"/>
      <c r="N112" s="26"/>
      <c r="O112" s="26"/>
      <c r="P112" s="28"/>
      <c r="Q112" s="26"/>
      <c r="R112" s="26"/>
      <c r="S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</row>
    <row r="113" spans="2:49" x14ac:dyDescent="0.25">
      <c r="B113" s="26"/>
      <c r="C113" s="26"/>
      <c r="D113" s="26"/>
      <c r="E113" s="26"/>
      <c r="F113" s="26"/>
      <c r="G113" s="50"/>
      <c r="H113" s="26"/>
      <c r="I113" s="26"/>
      <c r="J113" s="28"/>
      <c r="K113" s="26"/>
      <c r="L113" s="26"/>
      <c r="M113" s="28"/>
      <c r="N113" s="26"/>
      <c r="O113" s="26"/>
      <c r="P113" s="28"/>
      <c r="Q113" s="26"/>
      <c r="R113" s="26"/>
      <c r="S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</row>
    <row r="114" spans="2:49" x14ac:dyDescent="0.25">
      <c r="B114" s="26"/>
      <c r="C114" s="26"/>
      <c r="D114" s="26"/>
      <c r="E114" s="26"/>
      <c r="F114" s="26"/>
      <c r="G114" s="50"/>
      <c r="H114" s="26"/>
      <c r="I114" s="26"/>
      <c r="J114" s="28"/>
      <c r="K114" s="26"/>
      <c r="L114" s="26"/>
      <c r="M114" s="28"/>
      <c r="N114" s="26"/>
      <c r="O114" s="26"/>
      <c r="P114" s="28"/>
      <c r="Q114" s="26"/>
      <c r="R114" s="26"/>
      <c r="S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</row>
    <row r="115" spans="2:49" x14ac:dyDescent="0.25">
      <c r="B115" s="26"/>
      <c r="C115" s="26"/>
      <c r="D115" s="26"/>
      <c r="E115" s="26"/>
      <c r="F115" s="26"/>
      <c r="G115" s="50"/>
      <c r="H115" s="26"/>
      <c r="I115" s="26"/>
      <c r="J115" s="28"/>
      <c r="K115" s="26"/>
      <c r="L115" s="26"/>
      <c r="M115" s="28"/>
      <c r="N115" s="26"/>
      <c r="O115" s="26"/>
      <c r="P115" s="28"/>
      <c r="Q115" s="26"/>
      <c r="R115" s="26"/>
      <c r="S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</row>
    <row r="116" spans="2:49" x14ac:dyDescent="0.25">
      <c r="B116" s="26"/>
      <c r="C116" s="26"/>
      <c r="D116" s="26"/>
      <c r="E116" s="26"/>
      <c r="F116" s="26"/>
      <c r="G116" s="50"/>
      <c r="H116" s="26"/>
      <c r="I116" s="26"/>
      <c r="J116" s="28"/>
      <c r="K116" s="26"/>
      <c r="L116" s="26"/>
      <c r="M116" s="28"/>
      <c r="N116" s="26"/>
      <c r="O116" s="26"/>
      <c r="P116" s="28"/>
      <c r="Q116" s="26"/>
      <c r="R116" s="26"/>
      <c r="S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</row>
    <row r="117" spans="2:49" x14ac:dyDescent="0.25">
      <c r="B117" s="26"/>
      <c r="C117" s="26"/>
      <c r="D117" s="26"/>
      <c r="E117" s="26"/>
      <c r="F117" s="26"/>
      <c r="G117" s="50"/>
      <c r="H117" s="26"/>
      <c r="I117" s="26"/>
      <c r="J117" s="28"/>
      <c r="K117" s="26"/>
      <c r="L117" s="26"/>
      <c r="M117" s="28"/>
      <c r="N117" s="26"/>
      <c r="O117" s="26"/>
      <c r="P117" s="28"/>
      <c r="Q117" s="26"/>
      <c r="R117" s="26"/>
      <c r="S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</row>
    <row r="118" spans="2:49" x14ac:dyDescent="0.25">
      <c r="B118" s="26"/>
      <c r="C118" s="26"/>
      <c r="D118" s="26"/>
      <c r="E118" s="26"/>
      <c r="F118" s="26"/>
      <c r="G118" s="50"/>
      <c r="H118" s="26"/>
      <c r="I118" s="26"/>
      <c r="J118" s="28"/>
      <c r="K118" s="26"/>
      <c r="L118" s="26"/>
      <c r="M118" s="28"/>
      <c r="N118" s="26"/>
      <c r="O118" s="26"/>
      <c r="P118" s="28"/>
      <c r="Q118" s="26"/>
      <c r="R118" s="26"/>
      <c r="S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</row>
    <row r="119" spans="2:49" x14ac:dyDescent="0.25">
      <c r="B119" s="26"/>
      <c r="C119" s="26"/>
      <c r="D119" s="26"/>
      <c r="E119" s="26"/>
      <c r="F119" s="26"/>
      <c r="G119" s="50"/>
      <c r="H119" s="26"/>
      <c r="I119" s="26"/>
      <c r="J119" s="28"/>
      <c r="K119" s="26"/>
      <c r="L119" s="26"/>
      <c r="M119" s="28"/>
      <c r="N119" s="26"/>
      <c r="O119" s="26"/>
      <c r="P119" s="28"/>
      <c r="Q119" s="26"/>
      <c r="R119" s="26"/>
      <c r="S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</row>
    <row r="120" spans="2:49" x14ac:dyDescent="0.25">
      <c r="B120" s="26"/>
      <c r="C120" s="26"/>
      <c r="D120" s="26"/>
      <c r="E120" s="26"/>
      <c r="F120" s="26"/>
      <c r="G120" s="50"/>
      <c r="H120" s="26"/>
      <c r="I120" s="26"/>
      <c r="J120" s="28"/>
      <c r="K120" s="26"/>
      <c r="L120" s="26"/>
      <c r="M120" s="28"/>
      <c r="N120" s="26"/>
      <c r="O120" s="26"/>
      <c r="P120" s="28"/>
      <c r="Q120" s="26"/>
      <c r="R120" s="26"/>
      <c r="S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</row>
    <row r="121" spans="2:49" x14ac:dyDescent="0.25">
      <c r="B121" s="26"/>
      <c r="C121" s="26"/>
      <c r="D121" s="26"/>
      <c r="E121" s="26"/>
      <c r="F121" s="26"/>
      <c r="G121" s="50"/>
      <c r="H121" s="26"/>
      <c r="I121" s="26"/>
      <c r="J121" s="28"/>
      <c r="K121" s="26"/>
      <c r="L121" s="26"/>
      <c r="M121" s="28"/>
      <c r="N121" s="26"/>
      <c r="O121" s="26"/>
      <c r="P121" s="28"/>
      <c r="Q121" s="26"/>
      <c r="R121" s="26"/>
      <c r="S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</row>
    <row r="122" spans="2:49" x14ac:dyDescent="0.25">
      <c r="B122" s="26"/>
      <c r="C122" s="26"/>
      <c r="D122" s="26"/>
      <c r="E122" s="26"/>
      <c r="F122" s="26"/>
      <c r="G122" s="50"/>
      <c r="H122" s="26"/>
      <c r="I122" s="26"/>
      <c r="J122" s="28"/>
      <c r="K122" s="26"/>
      <c r="L122" s="26"/>
      <c r="M122" s="28"/>
      <c r="N122" s="26"/>
      <c r="O122" s="26"/>
      <c r="P122" s="28"/>
      <c r="Q122" s="26"/>
      <c r="R122" s="26"/>
      <c r="S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</row>
    <row r="123" spans="2:49" x14ac:dyDescent="0.25">
      <c r="B123" s="26"/>
      <c r="C123" s="26"/>
      <c r="D123" s="26"/>
      <c r="E123" s="26"/>
      <c r="F123" s="26"/>
      <c r="G123" s="50"/>
      <c r="H123" s="26"/>
      <c r="I123" s="26"/>
      <c r="J123" s="28"/>
      <c r="K123" s="26"/>
      <c r="L123" s="26"/>
      <c r="M123" s="28"/>
      <c r="N123" s="26"/>
      <c r="O123" s="26"/>
      <c r="P123" s="28"/>
      <c r="Q123" s="26"/>
      <c r="R123" s="26"/>
      <c r="S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</row>
    <row r="124" spans="2:49" x14ac:dyDescent="0.25">
      <c r="B124" s="26"/>
      <c r="C124" s="26"/>
      <c r="D124" s="26"/>
      <c r="E124" s="26"/>
      <c r="F124" s="26"/>
      <c r="G124" s="50"/>
      <c r="H124" s="26"/>
      <c r="I124" s="26"/>
      <c r="J124" s="28"/>
      <c r="K124" s="26"/>
      <c r="L124" s="26"/>
      <c r="M124" s="28"/>
      <c r="N124" s="26"/>
      <c r="O124" s="26"/>
      <c r="P124" s="28"/>
      <c r="Q124" s="26"/>
      <c r="R124" s="26"/>
      <c r="S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</row>
    <row r="125" spans="2:49" x14ac:dyDescent="0.25">
      <c r="B125" s="26"/>
      <c r="C125" s="26"/>
      <c r="D125" s="26"/>
      <c r="E125" s="26"/>
      <c r="F125" s="26"/>
      <c r="G125" s="50"/>
      <c r="H125" s="26"/>
      <c r="I125" s="26"/>
      <c r="J125" s="28"/>
      <c r="K125" s="26"/>
      <c r="L125" s="26"/>
      <c r="M125" s="28"/>
      <c r="N125" s="26"/>
      <c r="O125" s="26"/>
      <c r="P125" s="28"/>
      <c r="Q125" s="26"/>
      <c r="R125" s="26"/>
      <c r="S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</row>
    <row r="126" spans="2:49" x14ac:dyDescent="0.25">
      <c r="B126" s="26"/>
      <c r="C126" s="26"/>
      <c r="D126" s="26"/>
      <c r="E126" s="26"/>
      <c r="F126" s="26"/>
      <c r="G126" s="50"/>
      <c r="H126" s="26"/>
      <c r="I126" s="26"/>
      <c r="J126" s="28"/>
      <c r="K126" s="26"/>
      <c r="L126" s="26"/>
      <c r="M126" s="28"/>
      <c r="N126" s="26"/>
      <c r="O126" s="26"/>
      <c r="P126" s="28"/>
      <c r="Q126" s="26"/>
      <c r="R126" s="26"/>
      <c r="S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</row>
    <row r="127" spans="2:49" x14ac:dyDescent="0.25">
      <c r="B127" s="26"/>
      <c r="C127" s="26"/>
      <c r="D127" s="26"/>
      <c r="E127" s="26"/>
      <c r="F127" s="26"/>
      <c r="G127" s="50"/>
      <c r="H127" s="26"/>
      <c r="I127" s="26"/>
      <c r="J127" s="28"/>
      <c r="K127" s="26"/>
      <c r="L127" s="26"/>
      <c r="M127" s="28"/>
      <c r="N127" s="26"/>
      <c r="O127" s="26"/>
      <c r="P127" s="28"/>
      <c r="Q127" s="26"/>
      <c r="R127" s="26"/>
      <c r="S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</row>
    <row r="128" spans="2:49" x14ac:dyDescent="0.25">
      <c r="B128" s="26"/>
      <c r="C128" s="26"/>
      <c r="D128" s="26"/>
      <c r="E128" s="26"/>
      <c r="F128" s="26"/>
      <c r="G128" s="50"/>
      <c r="H128" s="26"/>
      <c r="I128" s="26"/>
      <c r="J128" s="28"/>
      <c r="K128" s="26"/>
      <c r="L128" s="26"/>
      <c r="M128" s="28"/>
      <c r="N128" s="26"/>
      <c r="O128" s="26"/>
      <c r="P128" s="28"/>
      <c r="Q128" s="26"/>
      <c r="R128" s="26"/>
      <c r="S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</row>
    <row r="129" spans="2:49" x14ac:dyDescent="0.25">
      <c r="B129" s="26"/>
      <c r="C129" s="26"/>
      <c r="D129" s="26"/>
      <c r="E129" s="26"/>
      <c r="F129" s="26"/>
      <c r="G129" s="50"/>
      <c r="H129" s="26"/>
      <c r="I129" s="26"/>
      <c r="J129" s="28"/>
      <c r="K129" s="26"/>
      <c r="L129" s="26"/>
      <c r="M129" s="28"/>
      <c r="N129" s="26"/>
      <c r="O129" s="26"/>
      <c r="P129" s="28"/>
      <c r="Q129" s="26"/>
      <c r="R129" s="26"/>
      <c r="S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</row>
    <row r="130" spans="2:49" x14ac:dyDescent="0.25">
      <c r="B130" s="26"/>
      <c r="C130" s="26"/>
      <c r="D130" s="26"/>
      <c r="E130" s="26"/>
      <c r="F130" s="26"/>
      <c r="G130" s="50"/>
      <c r="H130" s="26"/>
      <c r="I130" s="26"/>
      <c r="J130" s="28"/>
      <c r="K130" s="26"/>
      <c r="L130" s="26"/>
      <c r="M130" s="28"/>
      <c r="N130" s="26"/>
      <c r="O130" s="26"/>
      <c r="P130" s="28"/>
      <c r="Q130" s="26"/>
      <c r="R130" s="26"/>
      <c r="S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</row>
    <row r="131" spans="2:49" x14ac:dyDescent="0.25">
      <c r="B131" s="26"/>
      <c r="C131" s="26"/>
      <c r="D131" s="26"/>
      <c r="E131" s="26"/>
      <c r="F131" s="26"/>
      <c r="G131" s="50"/>
      <c r="H131" s="26"/>
      <c r="I131" s="26"/>
      <c r="J131" s="28"/>
      <c r="K131" s="26"/>
      <c r="L131" s="26"/>
      <c r="M131" s="28"/>
      <c r="N131" s="26"/>
      <c r="O131" s="26"/>
      <c r="P131" s="28"/>
      <c r="Q131" s="26"/>
      <c r="R131" s="26"/>
      <c r="S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</row>
    <row r="132" spans="2:49" x14ac:dyDescent="0.25">
      <c r="B132" s="26"/>
      <c r="C132" s="26"/>
      <c r="D132" s="26"/>
      <c r="E132" s="26"/>
      <c r="F132" s="26"/>
      <c r="G132" s="50"/>
      <c r="H132" s="26"/>
      <c r="I132" s="26"/>
      <c r="J132" s="28"/>
      <c r="K132" s="26"/>
      <c r="L132" s="26"/>
      <c r="M132" s="28"/>
      <c r="N132" s="26"/>
      <c r="O132" s="26"/>
      <c r="P132" s="28"/>
      <c r="Q132" s="26"/>
      <c r="R132" s="26"/>
      <c r="S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</row>
    <row r="133" spans="2:49" x14ac:dyDescent="0.25">
      <c r="B133" s="26"/>
      <c r="C133" s="26"/>
      <c r="D133" s="26"/>
      <c r="E133" s="26"/>
      <c r="F133" s="26"/>
      <c r="G133" s="50"/>
      <c r="H133" s="26"/>
      <c r="I133" s="26"/>
      <c r="J133" s="28"/>
      <c r="K133" s="26"/>
      <c r="L133" s="26"/>
      <c r="M133" s="28"/>
      <c r="N133" s="26"/>
      <c r="O133" s="26"/>
      <c r="P133" s="28"/>
      <c r="Q133" s="26"/>
      <c r="R133" s="26"/>
      <c r="S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</row>
    <row r="134" spans="2:49" x14ac:dyDescent="0.25">
      <c r="B134" s="26"/>
      <c r="C134" s="26"/>
      <c r="D134" s="26"/>
      <c r="E134" s="26"/>
      <c r="F134" s="26"/>
      <c r="G134" s="50"/>
      <c r="H134" s="26"/>
      <c r="I134" s="26"/>
      <c r="J134" s="28"/>
      <c r="K134" s="26"/>
      <c r="L134" s="26"/>
      <c r="M134" s="28"/>
      <c r="N134" s="26"/>
      <c r="O134" s="26"/>
      <c r="P134" s="28"/>
      <c r="Q134" s="26"/>
      <c r="R134" s="26"/>
      <c r="S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</row>
    <row r="135" spans="2:49" x14ac:dyDescent="0.25">
      <c r="B135" s="26"/>
      <c r="C135" s="26"/>
      <c r="D135" s="26"/>
      <c r="E135" s="26"/>
      <c r="F135" s="26"/>
      <c r="G135" s="50"/>
      <c r="H135" s="26"/>
      <c r="I135" s="26"/>
      <c r="J135" s="28"/>
      <c r="K135" s="26"/>
      <c r="L135" s="26"/>
      <c r="M135" s="28"/>
      <c r="N135" s="26"/>
      <c r="O135" s="26"/>
      <c r="P135" s="28"/>
      <c r="Q135" s="26"/>
      <c r="R135" s="26"/>
      <c r="S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</row>
    <row r="136" spans="2:49" x14ac:dyDescent="0.25">
      <c r="B136" s="26"/>
      <c r="C136" s="26"/>
      <c r="D136" s="26"/>
      <c r="E136" s="26"/>
      <c r="F136" s="26"/>
      <c r="G136" s="50"/>
      <c r="H136" s="26"/>
      <c r="I136" s="26"/>
      <c r="J136" s="28"/>
      <c r="K136" s="26"/>
      <c r="L136" s="26"/>
      <c r="M136" s="28"/>
      <c r="N136" s="26"/>
      <c r="O136" s="26"/>
      <c r="P136" s="28"/>
      <c r="Q136" s="26"/>
      <c r="R136" s="26"/>
      <c r="S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</row>
    <row r="137" spans="2:49" x14ac:dyDescent="0.25">
      <c r="B137" s="26"/>
      <c r="C137" s="26"/>
      <c r="D137" s="26"/>
      <c r="E137" s="26"/>
      <c r="F137" s="26"/>
      <c r="G137" s="50"/>
      <c r="H137" s="26"/>
      <c r="I137" s="26"/>
      <c r="J137" s="28"/>
      <c r="K137" s="26"/>
      <c r="L137" s="26"/>
      <c r="M137" s="28"/>
      <c r="N137" s="26"/>
      <c r="O137" s="26"/>
      <c r="P137" s="28"/>
      <c r="Q137" s="26"/>
      <c r="R137" s="26"/>
      <c r="S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</row>
    <row r="138" spans="2:49" x14ac:dyDescent="0.25">
      <c r="B138" s="26"/>
      <c r="C138" s="26"/>
      <c r="D138" s="26"/>
      <c r="E138" s="26"/>
      <c r="F138" s="26"/>
      <c r="G138" s="50"/>
      <c r="H138" s="26"/>
      <c r="I138" s="26"/>
      <c r="J138" s="28"/>
      <c r="K138" s="26"/>
      <c r="L138" s="26"/>
      <c r="M138" s="28"/>
      <c r="N138" s="26"/>
      <c r="O138" s="26"/>
      <c r="P138" s="28"/>
      <c r="Q138" s="26"/>
      <c r="R138" s="26"/>
      <c r="S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</row>
    <row r="139" spans="2:49" x14ac:dyDescent="0.25">
      <c r="B139" s="26"/>
      <c r="C139" s="26"/>
      <c r="D139" s="26"/>
      <c r="E139" s="26"/>
      <c r="F139" s="26"/>
      <c r="G139" s="50"/>
      <c r="H139" s="26"/>
      <c r="I139" s="26"/>
      <c r="J139" s="28"/>
      <c r="K139" s="26"/>
      <c r="L139" s="26"/>
      <c r="M139" s="28"/>
      <c r="N139" s="26"/>
      <c r="O139" s="26"/>
      <c r="P139" s="28"/>
      <c r="Q139" s="26"/>
      <c r="R139" s="26"/>
      <c r="S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</row>
    <row r="140" spans="2:49" x14ac:dyDescent="0.25">
      <c r="B140" s="26"/>
      <c r="C140" s="26"/>
      <c r="D140" s="26"/>
      <c r="E140" s="26"/>
      <c r="F140" s="26"/>
      <c r="G140" s="50"/>
      <c r="H140" s="26"/>
      <c r="I140" s="26"/>
      <c r="J140" s="28"/>
      <c r="K140" s="26"/>
      <c r="L140" s="26"/>
      <c r="M140" s="28"/>
      <c r="N140" s="26"/>
      <c r="O140" s="26"/>
      <c r="P140" s="28"/>
      <c r="Q140" s="26"/>
      <c r="R140" s="26"/>
      <c r="S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</row>
    <row r="141" spans="2:49" x14ac:dyDescent="0.25">
      <c r="B141" s="26"/>
      <c r="C141" s="26"/>
      <c r="D141" s="26"/>
      <c r="E141" s="26"/>
      <c r="F141" s="26"/>
      <c r="G141" s="50"/>
      <c r="H141" s="26"/>
      <c r="I141" s="26"/>
      <c r="J141" s="28"/>
      <c r="K141" s="26"/>
      <c r="L141" s="26"/>
      <c r="M141" s="28"/>
      <c r="N141" s="26"/>
      <c r="O141" s="26"/>
      <c r="P141" s="28"/>
      <c r="Q141" s="26"/>
      <c r="R141" s="26"/>
      <c r="S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</row>
    <row r="142" spans="2:49" x14ac:dyDescent="0.25">
      <c r="B142" s="26"/>
      <c r="C142" s="26"/>
      <c r="D142" s="26"/>
      <c r="E142" s="26"/>
      <c r="F142" s="26"/>
      <c r="G142" s="50"/>
      <c r="H142" s="26"/>
      <c r="I142" s="26"/>
      <c r="J142" s="28"/>
      <c r="K142" s="26"/>
      <c r="L142" s="26"/>
      <c r="M142" s="28"/>
      <c r="N142" s="26"/>
      <c r="O142" s="26"/>
      <c r="P142" s="28"/>
      <c r="Q142" s="26"/>
      <c r="R142" s="26"/>
      <c r="S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</row>
    <row r="143" spans="2:49" x14ac:dyDescent="0.25">
      <c r="B143" s="26"/>
      <c r="C143" s="26"/>
      <c r="D143" s="26"/>
      <c r="E143" s="26"/>
      <c r="F143" s="26"/>
      <c r="G143" s="50"/>
      <c r="H143" s="26"/>
      <c r="I143" s="26"/>
      <c r="J143" s="28"/>
      <c r="K143" s="26"/>
      <c r="L143" s="26"/>
      <c r="M143" s="28"/>
      <c r="N143" s="26"/>
      <c r="O143" s="26"/>
      <c r="P143" s="28"/>
      <c r="Q143" s="26"/>
      <c r="R143" s="26"/>
      <c r="S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</row>
    <row r="144" spans="2:49" x14ac:dyDescent="0.25">
      <c r="B144" s="26"/>
      <c r="C144" s="26"/>
      <c r="D144" s="26"/>
      <c r="E144" s="26"/>
      <c r="F144" s="26"/>
      <c r="G144" s="50"/>
      <c r="H144" s="26"/>
      <c r="I144" s="26"/>
      <c r="J144" s="28"/>
      <c r="K144" s="26"/>
      <c r="L144" s="26"/>
      <c r="M144" s="28"/>
      <c r="N144" s="26"/>
      <c r="O144" s="26"/>
      <c r="P144" s="28"/>
      <c r="Q144" s="26"/>
      <c r="R144" s="26"/>
      <c r="S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</row>
    <row r="145" spans="2:49" x14ac:dyDescent="0.25">
      <c r="B145" s="26"/>
      <c r="C145" s="26"/>
      <c r="D145" s="26"/>
      <c r="E145" s="26"/>
      <c r="F145" s="26"/>
      <c r="G145" s="50"/>
      <c r="H145" s="26"/>
      <c r="I145" s="26"/>
      <c r="J145" s="28"/>
      <c r="K145" s="26"/>
      <c r="L145" s="26"/>
      <c r="M145" s="28"/>
      <c r="N145" s="26"/>
      <c r="O145" s="26"/>
      <c r="P145" s="28"/>
      <c r="Q145" s="26"/>
      <c r="R145" s="26"/>
      <c r="S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</row>
    <row r="146" spans="2:49" x14ac:dyDescent="0.25">
      <c r="B146" s="26"/>
      <c r="C146" s="26"/>
      <c r="D146" s="26"/>
      <c r="E146" s="26"/>
      <c r="F146" s="26"/>
      <c r="G146" s="50"/>
      <c r="H146" s="26"/>
      <c r="I146" s="26"/>
      <c r="J146" s="28"/>
      <c r="K146" s="26"/>
      <c r="L146" s="26"/>
      <c r="M146" s="28"/>
      <c r="N146" s="26"/>
      <c r="O146" s="26"/>
      <c r="P146" s="28"/>
      <c r="Q146" s="26"/>
      <c r="R146" s="26"/>
      <c r="S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</row>
    <row r="147" spans="2:49" x14ac:dyDescent="0.25">
      <c r="B147" s="26"/>
      <c r="C147" s="26"/>
      <c r="D147" s="26"/>
      <c r="E147" s="26"/>
      <c r="F147" s="26"/>
      <c r="G147" s="50"/>
      <c r="H147" s="26"/>
      <c r="I147" s="26"/>
      <c r="J147" s="28"/>
      <c r="K147" s="26"/>
      <c r="L147" s="26"/>
      <c r="M147" s="28"/>
      <c r="N147" s="26"/>
      <c r="O147" s="26"/>
      <c r="P147" s="28"/>
      <c r="Q147" s="26"/>
      <c r="R147" s="26"/>
      <c r="S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</row>
    <row r="148" spans="2:49" x14ac:dyDescent="0.25">
      <c r="B148" s="26"/>
      <c r="C148" s="26"/>
      <c r="D148" s="26"/>
      <c r="E148" s="26"/>
      <c r="F148" s="26"/>
      <c r="G148" s="50"/>
      <c r="H148" s="26"/>
      <c r="I148" s="26"/>
      <c r="J148" s="28"/>
      <c r="K148" s="26"/>
      <c r="L148" s="26"/>
      <c r="M148" s="28"/>
      <c r="N148" s="26"/>
      <c r="O148" s="26"/>
      <c r="P148" s="28"/>
      <c r="Q148" s="26"/>
      <c r="R148" s="26"/>
      <c r="S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</row>
    <row r="149" spans="2:49" x14ac:dyDescent="0.25">
      <c r="B149" s="26"/>
      <c r="C149" s="26"/>
      <c r="D149" s="26"/>
      <c r="E149" s="26"/>
      <c r="F149" s="26"/>
      <c r="G149" s="50"/>
      <c r="H149" s="26"/>
      <c r="I149" s="26"/>
      <c r="J149" s="28"/>
      <c r="K149" s="26"/>
      <c r="L149" s="26"/>
      <c r="M149" s="28"/>
      <c r="N149" s="26"/>
      <c r="O149" s="26"/>
      <c r="P149" s="28"/>
      <c r="Q149" s="26"/>
      <c r="R149" s="26"/>
      <c r="S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</row>
    <row r="150" spans="2:49" x14ac:dyDescent="0.25">
      <c r="B150" s="26"/>
      <c r="C150" s="26"/>
      <c r="D150" s="26"/>
      <c r="E150" s="26"/>
      <c r="F150" s="26"/>
      <c r="G150" s="50"/>
      <c r="H150" s="26"/>
      <c r="I150" s="26"/>
      <c r="J150" s="28"/>
      <c r="K150" s="26"/>
      <c r="L150" s="26"/>
      <c r="M150" s="28"/>
      <c r="N150" s="26"/>
      <c r="O150" s="26"/>
      <c r="P150" s="28"/>
      <c r="Q150" s="26"/>
      <c r="R150" s="26"/>
      <c r="S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</row>
    <row r="151" spans="2:49" x14ac:dyDescent="0.25">
      <c r="B151" s="26"/>
      <c r="C151" s="26"/>
      <c r="D151" s="26"/>
      <c r="E151" s="26"/>
      <c r="F151" s="26"/>
      <c r="G151" s="50"/>
      <c r="H151" s="26"/>
      <c r="I151" s="26"/>
      <c r="J151" s="28"/>
      <c r="K151" s="26"/>
      <c r="L151" s="26"/>
      <c r="M151" s="28"/>
      <c r="N151" s="26"/>
      <c r="O151" s="26"/>
      <c r="P151" s="28"/>
      <c r="Q151" s="26"/>
      <c r="R151" s="26"/>
      <c r="S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</row>
    <row r="152" spans="2:49" x14ac:dyDescent="0.25">
      <c r="B152" s="26"/>
      <c r="C152" s="26"/>
      <c r="D152" s="26"/>
      <c r="E152" s="26"/>
      <c r="F152" s="26"/>
      <c r="G152" s="50"/>
      <c r="H152" s="26"/>
      <c r="I152" s="26"/>
      <c r="J152" s="28"/>
      <c r="K152" s="26"/>
      <c r="L152" s="26"/>
      <c r="M152" s="28"/>
      <c r="N152" s="26"/>
      <c r="O152" s="26"/>
      <c r="P152" s="28"/>
      <c r="Q152" s="26"/>
      <c r="R152" s="26"/>
      <c r="S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</row>
    <row r="153" spans="2:49" x14ac:dyDescent="0.25">
      <c r="B153" s="26"/>
      <c r="C153" s="26"/>
      <c r="D153" s="26"/>
      <c r="E153" s="26"/>
      <c r="F153" s="26"/>
      <c r="G153" s="50"/>
      <c r="H153" s="26"/>
      <c r="I153" s="26"/>
      <c r="J153" s="28"/>
      <c r="K153" s="26"/>
      <c r="L153" s="26"/>
      <c r="M153" s="28"/>
      <c r="N153" s="26"/>
      <c r="O153" s="26"/>
      <c r="P153" s="28"/>
      <c r="Q153" s="26"/>
      <c r="R153" s="26"/>
      <c r="S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</row>
    <row r="154" spans="2:49" x14ac:dyDescent="0.25">
      <c r="B154" s="26"/>
      <c r="C154" s="26"/>
      <c r="D154" s="26"/>
      <c r="E154" s="26"/>
      <c r="F154" s="26"/>
      <c r="G154" s="50"/>
      <c r="H154" s="26"/>
      <c r="I154" s="26"/>
      <c r="J154" s="28"/>
      <c r="K154" s="26"/>
      <c r="L154" s="26"/>
      <c r="M154" s="28"/>
      <c r="N154" s="26"/>
      <c r="O154" s="26"/>
      <c r="P154" s="28"/>
      <c r="Q154" s="26"/>
      <c r="R154" s="26"/>
      <c r="S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</row>
    <row r="155" spans="2:49" x14ac:dyDescent="0.25">
      <c r="B155" s="26"/>
      <c r="C155" s="26"/>
      <c r="D155" s="26"/>
      <c r="E155" s="26"/>
      <c r="F155" s="26"/>
      <c r="G155" s="50"/>
      <c r="H155" s="26"/>
      <c r="I155" s="26"/>
      <c r="J155" s="28"/>
      <c r="K155" s="26"/>
      <c r="L155" s="26"/>
      <c r="M155" s="28"/>
      <c r="N155" s="26"/>
      <c r="O155" s="26"/>
      <c r="P155" s="28"/>
      <c r="Q155" s="26"/>
      <c r="R155" s="26"/>
      <c r="S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</row>
    <row r="156" spans="2:49" x14ac:dyDescent="0.25">
      <c r="B156" s="26"/>
      <c r="C156" s="26"/>
      <c r="D156" s="26"/>
      <c r="E156" s="26"/>
      <c r="F156" s="26"/>
      <c r="G156" s="50"/>
      <c r="H156" s="26"/>
      <c r="I156" s="26"/>
      <c r="J156" s="28"/>
      <c r="K156" s="26"/>
      <c r="L156" s="26"/>
      <c r="M156" s="28"/>
      <c r="N156" s="26"/>
      <c r="O156" s="26"/>
      <c r="P156" s="28"/>
      <c r="Q156" s="26"/>
      <c r="R156" s="26"/>
      <c r="S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</row>
    <row r="157" spans="2:49" x14ac:dyDescent="0.25">
      <c r="B157" s="26"/>
      <c r="C157" s="26"/>
      <c r="D157" s="26"/>
      <c r="E157" s="26"/>
      <c r="F157" s="26"/>
      <c r="G157" s="50"/>
      <c r="H157" s="26"/>
      <c r="I157" s="26"/>
      <c r="J157" s="28"/>
      <c r="K157" s="26"/>
      <c r="L157" s="26"/>
      <c r="M157" s="28"/>
      <c r="N157" s="26"/>
      <c r="O157" s="26"/>
      <c r="P157" s="28"/>
      <c r="Q157" s="26"/>
      <c r="R157" s="26"/>
      <c r="S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</row>
    <row r="158" spans="2:49" x14ac:dyDescent="0.25">
      <c r="B158" s="26"/>
      <c r="C158" s="26"/>
      <c r="D158" s="26"/>
      <c r="E158" s="26"/>
      <c r="F158" s="26"/>
      <c r="G158" s="50"/>
      <c r="H158" s="26"/>
      <c r="I158" s="26"/>
      <c r="J158" s="28"/>
      <c r="K158" s="26"/>
      <c r="L158" s="26"/>
      <c r="M158" s="28"/>
      <c r="N158" s="26"/>
      <c r="O158" s="26"/>
      <c r="P158" s="28"/>
      <c r="Q158" s="26"/>
      <c r="R158" s="26"/>
      <c r="S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</row>
    <row r="159" spans="2:49" x14ac:dyDescent="0.25">
      <c r="B159" s="26"/>
      <c r="C159" s="26"/>
      <c r="D159" s="26"/>
      <c r="E159" s="26"/>
      <c r="F159" s="26"/>
      <c r="G159" s="50"/>
      <c r="H159" s="26"/>
      <c r="I159" s="26"/>
      <c r="J159" s="28"/>
      <c r="K159" s="26"/>
      <c r="L159" s="26"/>
      <c r="M159" s="28"/>
      <c r="N159" s="26"/>
      <c r="O159" s="26"/>
      <c r="P159" s="28"/>
      <c r="Q159" s="26"/>
      <c r="R159" s="26"/>
      <c r="S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</row>
    <row r="160" spans="2:49" x14ac:dyDescent="0.25">
      <c r="B160" s="26"/>
      <c r="C160" s="26"/>
      <c r="D160" s="26"/>
      <c r="E160" s="26"/>
      <c r="F160" s="26"/>
      <c r="G160" s="50"/>
      <c r="H160" s="26"/>
      <c r="I160" s="26"/>
      <c r="J160" s="28"/>
      <c r="K160" s="26"/>
      <c r="L160" s="26"/>
      <c r="M160" s="28"/>
      <c r="N160" s="26"/>
      <c r="O160" s="26"/>
      <c r="P160" s="28"/>
      <c r="Q160" s="26"/>
      <c r="R160" s="26"/>
      <c r="S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</row>
    <row r="161" spans="2:49" x14ac:dyDescent="0.25">
      <c r="B161" s="26"/>
      <c r="C161" s="26"/>
      <c r="D161" s="26"/>
      <c r="E161" s="26"/>
      <c r="F161" s="26"/>
      <c r="G161" s="50"/>
      <c r="H161" s="26"/>
      <c r="I161" s="26"/>
      <c r="J161" s="28"/>
      <c r="K161" s="26"/>
      <c r="L161" s="26"/>
      <c r="M161" s="28"/>
      <c r="N161" s="26"/>
      <c r="O161" s="26"/>
      <c r="P161" s="28"/>
      <c r="Q161" s="26"/>
      <c r="R161" s="26"/>
      <c r="S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</row>
    <row r="162" spans="2:49" x14ac:dyDescent="0.25">
      <c r="B162" s="26"/>
      <c r="C162" s="26"/>
      <c r="D162" s="26"/>
      <c r="E162" s="26"/>
      <c r="F162" s="26"/>
      <c r="G162" s="50"/>
      <c r="H162" s="26"/>
      <c r="I162" s="26"/>
      <c r="J162" s="28"/>
      <c r="K162" s="26"/>
      <c r="L162" s="26"/>
      <c r="M162" s="28"/>
      <c r="N162" s="26"/>
      <c r="O162" s="26"/>
      <c r="P162" s="28"/>
      <c r="Q162" s="26"/>
      <c r="R162" s="26"/>
      <c r="S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</row>
    <row r="163" spans="2:49" x14ac:dyDescent="0.25">
      <c r="B163" s="26"/>
      <c r="C163" s="26"/>
      <c r="D163" s="26"/>
      <c r="E163" s="26"/>
      <c r="F163" s="26"/>
      <c r="G163" s="50"/>
      <c r="H163" s="26"/>
      <c r="I163" s="26"/>
      <c r="J163" s="28"/>
      <c r="K163" s="26"/>
      <c r="L163" s="26"/>
      <c r="M163" s="28"/>
      <c r="N163" s="26"/>
      <c r="O163" s="26"/>
      <c r="P163" s="28"/>
      <c r="Q163" s="26"/>
      <c r="R163" s="26"/>
      <c r="S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</row>
    <row r="164" spans="2:49" x14ac:dyDescent="0.25">
      <c r="B164" s="26"/>
      <c r="C164" s="26"/>
      <c r="D164" s="26"/>
      <c r="E164" s="26"/>
      <c r="F164" s="26"/>
      <c r="G164" s="50"/>
      <c r="H164" s="26"/>
      <c r="I164" s="26"/>
      <c r="J164" s="28"/>
      <c r="K164" s="26"/>
      <c r="L164" s="26"/>
      <c r="M164" s="28"/>
      <c r="N164" s="26"/>
      <c r="O164" s="26"/>
      <c r="P164" s="28"/>
      <c r="Q164" s="26"/>
      <c r="R164" s="26"/>
      <c r="S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</row>
    <row r="165" spans="2:49" x14ac:dyDescent="0.25">
      <c r="B165" s="26"/>
      <c r="C165" s="26"/>
      <c r="D165" s="26"/>
      <c r="E165" s="26"/>
      <c r="F165" s="26"/>
      <c r="G165" s="50"/>
      <c r="H165" s="26"/>
      <c r="I165" s="26"/>
      <c r="J165" s="28"/>
      <c r="K165" s="26"/>
      <c r="L165" s="26"/>
      <c r="M165" s="28"/>
      <c r="N165" s="26"/>
      <c r="O165" s="26"/>
      <c r="P165" s="28"/>
      <c r="Q165" s="26"/>
      <c r="R165" s="26"/>
      <c r="S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</row>
    <row r="166" spans="2:49" x14ac:dyDescent="0.25">
      <c r="B166" s="26"/>
      <c r="C166" s="26"/>
      <c r="D166" s="26"/>
      <c r="E166" s="26"/>
      <c r="F166" s="26"/>
      <c r="G166" s="50"/>
      <c r="H166" s="26"/>
      <c r="I166" s="26"/>
      <c r="J166" s="28"/>
      <c r="K166" s="26"/>
      <c r="L166" s="26"/>
      <c r="M166" s="28"/>
      <c r="N166" s="26"/>
      <c r="O166" s="26"/>
      <c r="P166" s="28"/>
      <c r="Q166" s="26"/>
      <c r="R166" s="26"/>
      <c r="S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</row>
    <row r="167" spans="2:49" x14ac:dyDescent="0.25">
      <c r="B167" s="26"/>
      <c r="C167" s="26"/>
      <c r="D167" s="26"/>
      <c r="E167" s="26"/>
      <c r="F167" s="26"/>
      <c r="G167" s="50"/>
      <c r="H167" s="26"/>
      <c r="I167" s="26"/>
      <c r="J167" s="28"/>
      <c r="K167" s="26"/>
      <c r="L167" s="26"/>
      <c r="M167" s="28"/>
      <c r="N167" s="26"/>
      <c r="O167" s="26"/>
      <c r="P167" s="28"/>
      <c r="Q167" s="26"/>
      <c r="R167" s="26"/>
      <c r="S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</row>
    <row r="168" spans="2:49" x14ac:dyDescent="0.25">
      <c r="B168" s="26"/>
      <c r="C168" s="26"/>
      <c r="D168" s="26"/>
      <c r="E168" s="26"/>
      <c r="F168" s="26"/>
      <c r="G168" s="50"/>
      <c r="H168" s="26"/>
      <c r="I168" s="26"/>
      <c r="J168" s="28"/>
      <c r="K168" s="26"/>
      <c r="L168" s="26"/>
      <c r="M168" s="28"/>
      <c r="N168" s="26"/>
      <c r="O168" s="26"/>
      <c r="P168" s="28"/>
      <c r="Q168" s="26"/>
      <c r="R168" s="26"/>
      <c r="S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</row>
    <row r="169" spans="2:49" x14ac:dyDescent="0.25">
      <c r="B169" s="26"/>
      <c r="C169" s="26"/>
      <c r="D169" s="26"/>
      <c r="E169" s="26"/>
      <c r="F169" s="26"/>
      <c r="G169" s="50"/>
      <c r="H169" s="26"/>
      <c r="I169" s="26"/>
      <c r="J169" s="28"/>
      <c r="K169" s="26"/>
      <c r="L169" s="26"/>
      <c r="M169" s="28"/>
      <c r="N169" s="26"/>
      <c r="O169" s="26"/>
      <c r="P169" s="28"/>
      <c r="Q169" s="26"/>
      <c r="R169" s="26"/>
      <c r="S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</row>
    <row r="170" spans="2:49" x14ac:dyDescent="0.25">
      <c r="B170" s="26"/>
      <c r="C170" s="26"/>
      <c r="D170" s="26"/>
      <c r="E170" s="26"/>
      <c r="F170" s="26"/>
      <c r="G170" s="50"/>
      <c r="H170" s="26"/>
      <c r="I170" s="26"/>
      <c r="J170" s="28"/>
      <c r="K170" s="26"/>
      <c r="L170" s="26"/>
      <c r="M170" s="28"/>
      <c r="N170" s="26"/>
      <c r="O170" s="26"/>
      <c r="P170" s="28"/>
      <c r="Q170" s="26"/>
      <c r="R170" s="26"/>
      <c r="S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</row>
    <row r="171" spans="2:49" x14ac:dyDescent="0.25">
      <c r="B171" s="26"/>
      <c r="C171" s="26"/>
      <c r="D171" s="26"/>
      <c r="E171" s="26"/>
      <c r="F171" s="26"/>
      <c r="G171" s="50"/>
      <c r="H171" s="26"/>
      <c r="I171" s="26"/>
      <c r="J171" s="28"/>
      <c r="K171" s="26"/>
      <c r="L171" s="26"/>
      <c r="M171" s="28"/>
      <c r="N171" s="26"/>
      <c r="O171" s="26"/>
      <c r="P171" s="28"/>
      <c r="Q171" s="26"/>
      <c r="R171" s="26"/>
      <c r="S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</row>
    <row r="172" spans="2:49" x14ac:dyDescent="0.25">
      <c r="B172" s="26"/>
      <c r="C172" s="26"/>
      <c r="D172" s="26"/>
      <c r="E172" s="26"/>
      <c r="F172" s="26"/>
      <c r="G172" s="50"/>
      <c r="H172" s="26"/>
      <c r="I172" s="26"/>
      <c r="J172" s="28"/>
      <c r="K172" s="26"/>
      <c r="L172" s="26"/>
      <c r="M172" s="28"/>
      <c r="N172" s="26"/>
      <c r="O172" s="26"/>
      <c r="P172" s="28"/>
      <c r="Q172" s="26"/>
      <c r="R172" s="26"/>
      <c r="S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</row>
    <row r="173" spans="2:49" x14ac:dyDescent="0.25">
      <c r="B173" s="26"/>
      <c r="C173" s="26"/>
      <c r="D173" s="26"/>
      <c r="E173" s="26"/>
      <c r="F173" s="26"/>
      <c r="G173" s="50"/>
      <c r="H173" s="26"/>
      <c r="I173" s="26"/>
      <c r="J173" s="28"/>
      <c r="K173" s="26"/>
      <c r="L173" s="26"/>
      <c r="M173" s="28"/>
      <c r="N173" s="26"/>
      <c r="O173" s="26"/>
      <c r="P173" s="28"/>
      <c r="Q173" s="26"/>
      <c r="R173" s="26"/>
      <c r="S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</row>
    <row r="174" spans="2:49" x14ac:dyDescent="0.25">
      <c r="B174" s="26"/>
      <c r="C174" s="26"/>
      <c r="D174" s="26"/>
      <c r="E174" s="26"/>
      <c r="F174" s="26"/>
      <c r="G174" s="50"/>
      <c r="H174" s="26"/>
      <c r="I174" s="26"/>
      <c r="J174" s="28"/>
      <c r="K174" s="26"/>
      <c r="L174" s="26"/>
      <c r="M174" s="28"/>
      <c r="N174" s="26"/>
      <c r="O174" s="26"/>
      <c r="P174" s="28"/>
      <c r="Q174" s="26"/>
      <c r="R174" s="26"/>
      <c r="S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</row>
    <row r="175" spans="2:49" x14ac:dyDescent="0.25">
      <c r="B175" s="26"/>
      <c r="C175" s="26"/>
      <c r="D175" s="26"/>
      <c r="E175" s="26"/>
      <c r="F175" s="26"/>
      <c r="G175" s="50"/>
      <c r="H175" s="26"/>
      <c r="I175" s="26"/>
      <c r="J175" s="28"/>
      <c r="K175" s="26"/>
      <c r="L175" s="26"/>
      <c r="M175" s="28"/>
      <c r="N175" s="26"/>
      <c r="O175" s="26"/>
      <c r="P175" s="28"/>
      <c r="Q175" s="26"/>
      <c r="R175" s="26"/>
      <c r="S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</row>
    <row r="176" spans="2:49" x14ac:dyDescent="0.25">
      <c r="B176" s="26"/>
      <c r="C176" s="26"/>
      <c r="D176" s="26"/>
      <c r="E176" s="26"/>
      <c r="F176" s="26"/>
      <c r="G176" s="50"/>
      <c r="H176" s="26"/>
      <c r="I176" s="26"/>
      <c r="J176" s="28"/>
      <c r="K176" s="26"/>
      <c r="L176" s="26"/>
      <c r="M176" s="28"/>
      <c r="N176" s="26"/>
      <c r="O176" s="26"/>
      <c r="P176" s="28"/>
      <c r="Q176" s="26"/>
      <c r="R176" s="26"/>
      <c r="S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</row>
    <row r="177" spans="2:49" x14ac:dyDescent="0.25">
      <c r="B177" s="26"/>
      <c r="C177" s="26"/>
      <c r="D177" s="26"/>
      <c r="E177" s="26"/>
      <c r="F177" s="26"/>
      <c r="G177" s="50"/>
      <c r="H177" s="26"/>
      <c r="I177" s="26"/>
      <c r="J177" s="28"/>
      <c r="K177" s="26"/>
      <c r="L177" s="26"/>
      <c r="M177" s="28"/>
      <c r="N177" s="26"/>
      <c r="O177" s="26"/>
      <c r="P177" s="28"/>
      <c r="Q177" s="26"/>
      <c r="R177" s="26"/>
      <c r="S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</row>
    <row r="178" spans="2:49" x14ac:dyDescent="0.25">
      <c r="B178" s="26"/>
      <c r="C178" s="26"/>
      <c r="D178" s="26"/>
      <c r="E178" s="26"/>
      <c r="F178" s="26"/>
      <c r="G178" s="50"/>
      <c r="H178" s="26"/>
      <c r="I178" s="26"/>
      <c r="J178" s="28"/>
      <c r="K178" s="26"/>
      <c r="L178" s="26"/>
      <c r="M178" s="28"/>
      <c r="N178" s="26"/>
      <c r="O178" s="26"/>
      <c r="P178" s="28"/>
      <c r="Q178" s="26"/>
      <c r="R178" s="26"/>
      <c r="S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</row>
    <row r="179" spans="2:49" x14ac:dyDescent="0.25">
      <c r="B179" s="26"/>
      <c r="C179" s="26"/>
      <c r="D179" s="26"/>
      <c r="E179" s="26"/>
      <c r="F179" s="26"/>
      <c r="G179" s="50"/>
      <c r="H179" s="26"/>
      <c r="I179" s="26"/>
      <c r="J179" s="28"/>
      <c r="K179" s="26"/>
      <c r="L179" s="26"/>
      <c r="M179" s="28"/>
      <c r="N179" s="26"/>
      <c r="O179" s="26"/>
      <c r="P179" s="28"/>
      <c r="Q179" s="26"/>
      <c r="R179" s="26"/>
      <c r="S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</row>
    <row r="180" spans="2:49" x14ac:dyDescent="0.25">
      <c r="B180" s="26"/>
      <c r="C180" s="26"/>
      <c r="D180" s="26"/>
      <c r="E180" s="26"/>
      <c r="F180" s="26"/>
      <c r="G180" s="50"/>
      <c r="H180" s="26"/>
      <c r="I180" s="26"/>
      <c r="J180" s="28"/>
      <c r="K180" s="26"/>
      <c r="L180" s="26"/>
      <c r="M180" s="28"/>
      <c r="N180" s="26"/>
      <c r="O180" s="26"/>
      <c r="P180" s="28"/>
      <c r="Q180" s="26"/>
      <c r="R180" s="26"/>
      <c r="S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</row>
    <row r="181" spans="2:49" x14ac:dyDescent="0.25">
      <c r="B181" s="26"/>
      <c r="C181" s="26"/>
      <c r="D181" s="26"/>
      <c r="E181" s="26"/>
      <c r="F181" s="26"/>
      <c r="G181" s="50"/>
      <c r="H181" s="26"/>
      <c r="I181" s="26"/>
      <c r="J181" s="28"/>
      <c r="K181" s="26"/>
      <c r="L181" s="26"/>
      <c r="M181" s="28"/>
      <c r="N181" s="26"/>
      <c r="O181" s="26"/>
      <c r="P181" s="28"/>
      <c r="Q181" s="26"/>
      <c r="R181" s="26"/>
      <c r="S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</row>
    <row r="182" spans="2:49" x14ac:dyDescent="0.25">
      <c r="B182" s="26"/>
      <c r="C182" s="26"/>
      <c r="D182" s="26"/>
      <c r="E182" s="26"/>
      <c r="F182" s="26"/>
      <c r="G182" s="50"/>
      <c r="H182" s="26"/>
      <c r="I182" s="26"/>
      <c r="J182" s="28"/>
      <c r="K182" s="26"/>
      <c r="L182" s="26"/>
      <c r="M182" s="28"/>
      <c r="N182" s="26"/>
      <c r="O182" s="26"/>
      <c r="P182" s="28"/>
      <c r="Q182" s="26"/>
      <c r="R182" s="26"/>
      <c r="S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</row>
    <row r="183" spans="2:49" x14ac:dyDescent="0.25">
      <c r="B183" s="26"/>
      <c r="C183" s="26"/>
      <c r="D183" s="26"/>
      <c r="E183" s="26"/>
      <c r="F183" s="26"/>
      <c r="G183" s="50"/>
      <c r="H183" s="26"/>
      <c r="I183" s="26"/>
      <c r="J183" s="28"/>
      <c r="K183" s="26"/>
      <c r="L183" s="26"/>
      <c r="M183" s="28"/>
      <c r="N183" s="26"/>
      <c r="O183" s="26"/>
      <c r="P183" s="28"/>
      <c r="Q183" s="26"/>
      <c r="R183" s="26"/>
      <c r="S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</row>
    <row r="184" spans="2:49" x14ac:dyDescent="0.25">
      <c r="B184" s="26"/>
      <c r="C184" s="26"/>
      <c r="D184" s="26"/>
      <c r="E184" s="26"/>
      <c r="F184" s="26"/>
      <c r="G184" s="50"/>
      <c r="H184" s="26"/>
      <c r="I184" s="26"/>
      <c r="J184" s="28"/>
      <c r="K184" s="26"/>
      <c r="L184" s="26"/>
      <c r="M184" s="28"/>
      <c r="N184" s="26"/>
      <c r="O184" s="26"/>
      <c r="P184" s="28"/>
      <c r="Q184" s="26"/>
      <c r="R184" s="26"/>
      <c r="S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</row>
    <row r="185" spans="2:49" x14ac:dyDescent="0.25">
      <c r="B185" s="26"/>
      <c r="C185" s="26"/>
      <c r="D185" s="26"/>
      <c r="E185" s="26"/>
      <c r="F185" s="26"/>
      <c r="G185" s="50"/>
      <c r="H185" s="26"/>
      <c r="I185" s="26"/>
      <c r="J185" s="28"/>
      <c r="K185" s="26"/>
      <c r="L185" s="26"/>
      <c r="M185" s="28"/>
      <c r="N185" s="26"/>
      <c r="O185" s="26"/>
      <c r="P185" s="28"/>
      <c r="Q185" s="26"/>
      <c r="R185" s="26"/>
      <c r="S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</row>
    <row r="186" spans="2:49" x14ac:dyDescent="0.25">
      <c r="B186" s="26"/>
      <c r="C186" s="26"/>
      <c r="D186" s="26"/>
      <c r="E186" s="26"/>
      <c r="F186" s="26"/>
      <c r="G186" s="50"/>
      <c r="H186" s="26"/>
      <c r="I186" s="26"/>
      <c r="J186" s="28"/>
      <c r="K186" s="26"/>
      <c r="L186" s="26"/>
      <c r="M186" s="28"/>
      <c r="N186" s="26"/>
      <c r="O186" s="26"/>
      <c r="P186" s="28"/>
      <c r="Q186" s="26"/>
      <c r="R186" s="26"/>
      <c r="S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</row>
    <row r="187" spans="2:49" x14ac:dyDescent="0.25">
      <c r="B187" s="26"/>
      <c r="C187" s="26"/>
      <c r="D187" s="26"/>
      <c r="E187" s="26"/>
      <c r="F187" s="26"/>
      <c r="G187" s="50"/>
      <c r="H187" s="26"/>
      <c r="I187" s="26"/>
      <c r="J187" s="28"/>
      <c r="K187" s="26"/>
      <c r="L187" s="26"/>
      <c r="M187" s="28"/>
      <c r="N187" s="26"/>
      <c r="O187" s="26"/>
      <c r="P187" s="28"/>
      <c r="Q187" s="26"/>
      <c r="R187" s="26"/>
      <c r="S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</row>
    <row r="188" spans="2:49" x14ac:dyDescent="0.25">
      <c r="B188" s="26"/>
      <c r="C188" s="26"/>
      <c r="D188" s="26"/>
      <c r="E188" s="26"/>
      <c r="F188" s="26"/>
      <c r="G188" s="50"/>
      <c r="H188" s="26"/>
      <c r="I188" s="26"/>
      <c r="J188" s="28"/>
      <c r="K188" s="26"/>
      <c r="L188" s="26"/>
      <c r="M188" s="28"/>
      <c r="N188" s="26"/>
      <c r="O188" s="26"/>
      <c r="P188" s="28"/>
      <c r="Q188" s="26"/>
      <c r="R188" s="26"/>
      <c r="S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</row>
    <row r="189" spans="2:49" x14ac:dyDescent="0.25">
      <c r="B189" s="26"/>
      <c r="C189" s="26"/>
      <c r="D189" s="26"/>
      <c r="E189" s="26"/>
      <c r="F189" s="26"/>
      <c r="G189" s="50"/>
      <c r="H189" s="26"/>
      <c r="I189" s="26"/>
      <c r="J189" s="28"/>
      <c r="K189" s="26"/>
      <c r="L189" s="26"/>
      <c r="M189" s="28"/>
      <c r="N189" s="26"/>
      <c r="O189" s="26"/>
      <c r="P189" s="28"/>
      <c r="Q189" s="26"/>
      <c r="R189" s="26"/>
      <c r="S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</row>
    <row r="190" spans="2:49" x14ac:dyDescent="0.25">
      <c r="B190" s="26"/>
      <c r="C190" s="26"/>
      <c r="D190" s="26"/>
      <c r="E190" s="26"/>
      <c r="F190" s="26"/>
      <c r="G190" s="50"/>
      <c r="H190" s="26"/>
      <c r="I190" s="26"/>
      <c r="J190" s="28"/>
      <c r="K190" s="26"/>
      <c r="L190" s="26"/>
      <c r="M190" s="28"/>
      <c r="N190" s="26"/>
      <c r="O190" s="26"/>
      <c r="P190" s="28"/>
      <c r="Q190" s="26"/>
      <c r="R190" s="26"/>
      <c r="S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</row>
    <row r="191" spans="2:49" x14ac:dyDescent="0.25">
      <c r="B191" s="26"/>
      <c r="C191" s="26"/>
      <c r="D191" s="26"/>
      <c r="E191" s="26"/>
      <c r="F191" s="26"/>
      <c r="G191" s="50"/>
      <c r="H191" s="26"/>
      <c r="I191" s="26"/>
      <c r="J191" s="28"/>
      <c r="K191" s="26"/>
      <c r="L191" s="26"/>
      <c r="M191" s="28"/>
      <c r="N191" s="26"/>
      <c r="O191" s="26"/>
      <c r="P191" s="28"/>
      <c r="Q191" s="26"/>
      <c r="R191" s="26"/>
      <c r="S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</row>
    <row r="192" spans="2:49" x14ac:dyDescent="0.25">
      <c r="B192" s="26"/>
      <c r="C192" s="26"/>
      <c r="D192" s="26"/>
      <c r="E192" s="26"/>
      <c r="F192" s="26"/>
      <c r="G192" s="50"/>
      <c r="H192" s="26"/>
      <c r="I192" s="26"/>
      <c r="J192" s="28"/>
      <c r="K192" s="26"/>
      <c r="L192" s="26"/>
      <c r="M192" s="28"/>
      <c r="N192" s="26"/>
      <c r="O192" s="26"/>
      <c r="P192" s="28"/>
      <c r="Q192" s="26"/>
      <c r="R192" s="26"/>
      <c r="S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</row>
    <row r="193" spans="2:49" x14ac:dyDescent="0.25">
      <c r="B193" s="26"/>
      <c r="C193" s="26"/>
      <c r="D193" s="26"/>
      <c r="E193" s="26"/>
      <c r="F193" s="26"/>
      <c r="G193" s="50"/>
      <c r="H193" s="26"/>
      <c r="I193" s="26"/>
      <c r="J193" s="28"/>
      <c r="K193" s="26"/>
      <c r="L193" s="26"/>
      <c r="M193" s="28"/>
      <c r="N193" s="26"/>
      <c r="O193" s="26"/>
      <c r="P193" s="28"/>
      <c r="Q193" s="26"/>
      <c r="R193" s="26"/>
      <c r="S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</row>
    <row r="194" spans="2:49" x14ac:dyDescent="0.25">
      <c r="B194" s="26"/>
      <c r="C194" s="26"/>
      <c r="D194" s="26"/>
      <c r="E194" s="26"/>
      <c r="F194" s="26"/>
      <c r="G194" s="50"/>
      <c r="H194" s="26"/>
      <c r="I194" s="26"/>
      <c r="J194" s="28"/>
      <c r="K194" s="26"/>
      <c r="L194" s="26"/>
      <c r="M194" s="28"/>
      <c r="N194" s="26"/>
      <c r="O194" s="26"/>
      <c r="P194" s="28"/>
      <c r="Q194" s="26"/>
      <c r="R194" s="26"/>
      <c r="S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</row>
    <row r="195" spans="2:49" x14ac:dyDescent="0.25">
      <c r="B195" s="26"/>
      <c r="C195" s="26"/>
      <c r="D195" s="26"/>
      <c r="E195" s="26"/>
      <c r="F195" s="26"/>
      <c r="G195" s="50"/>
      <c r="H195" s="26"/>
      <c r="I195" s="26"/>
      <c r="J195" s="28"/>
      <c r="K195" s="26"/>
      <c r="L195" s="26"/>
      <c r="M195" s="28"/>
      <c r="N195" s="26"/>
      <c r="O195" s="26"/>
      <c r="P195" s="28"/>
      <c r="Q195" s="26"/>
      <c r="R195" s="26"/>
      <c r="S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</row>
    <row r="196" spans="2:49" x14ac:dyDescent="0.25">
      <c r="B196" s="26"/>
      <c r="C196" s="26"/>
      <c r="D196" s="26"/>
      <c r="E196" s="26"/>
      <c r="F196" s="26"/>
      <c r="G196" s="50"/>
      <c r="H196" s="26"/>
      <c r="I196" s="26"/>
      <c r="J196" s="28"/>
      <c r="K196" s="26"/>
      <c r="L196" s="26"/>
      <c r="M196" s="28"/>
      <c r="N196" s="26"/>
      <c r="O196" s="26"/>
      <c r="P196" s="28"/>
      <c r="Q196" s="26"/>
      <c r="R196" s="26"/>
      <c r="S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</row>
    <row r="197" spans="2:49" x14ac:dyDescent="0.25">
      <c r="B197" s="26"/>
      <c r="C197" s="26"/>
      <c r="D197" s="26"/>
      <c r="E197" s="26"/>
      <c r="F197" s="26"/>
      <c r="G197" s="50"/>
      <c r="H197" s="26"/>
      <c r="I197" s="26"/>
      <c r="J197" s="28"/>
      <c r="K197" s="26"/>
      <c r="L197" s="26"/>
      <c r="M197" s="28"/>
      <c r="N197" s="26"/>
      <c r="O197" s="26"/>
      <c r="P197" s="28"/>
      <c r="Q197" s="26"/>
      <c r="R197" s="26"/>
      <c r="S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</row>
    <row r="198" spans="2:49" x14ac:dyDescent="0.25">
      <c r="B198" s="26"/>
      <c r="C198" s="26"/>
      <c r="D198" s="26"/>
      <c r="E198" s="26"/>
      <c r="F198" s="26"/>
      <c r="G198" s="50"/>
      <c r="H198" s="26"/>
      <c r="I198" s="26"/>
      <c r="J198" s="28"/>
      <c r="K198" s="26"/>
      <c r="L198" s="26"/>
      <c r="M198" s="28"/>
      <c r="N198" s="26"/>
      <c r="O198" s="26"/>
      <c r="P198" s="28"/>
      <c r="Q198" s="26"/>
      <c r="R198" s="26"/>
      <c r="S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</row>
    <row r="199" spans="2:49" x14ac:dyDescent="0.25">
      <c r="B199" s="26"/>
      <c r="C199" s="26"/>
      <c r="D199" s="26"/>
      <c r="E199" s="26"/>
      <c r="F199" s="26"/>
      <c r="G199" s="50"/>
      <c r="H199" s="26"/>
      <c r="I199" s="26"/>
      <c r="J199" s="28"/>
      <c r="K199" s="26"/>
      <c r="L199" s="26"/>
      <c r="M199" s="28"/>
      <c r="N199" s="26"/>
      <c r="O199" s="26"/>
      <c r="P199" s="28"/>
      <c r="Q199" s="26"/>
      <c r="R199" s="26"/>
      <c r="S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</row>
    <row r="200" spans="2:49" x14ac:dyDescent="0.25">
      <c r="B200" s="26"/>
      <c r="C200" s="26"/>
      <c r="D200" s="26"/>
      <c r="E200" s="26"/>
      <c r="F200" s="26"/>
      <c r="G200" s="50"/>
      <c r="H200" s="26"/>
      <c r="I200" s="26"/>
      <c r="J200" s="28"/>
      <c r="K200" s="26"/>
      <c r="L200" s="26"/>
      <c r="M200" s="28"/>
      <c r="N200" s="26"/>
      <c r="O200" s="26"/>
      <c r="P200" s="28"/>
      <c r="Q200" s="26"/>
      <c r="R200" s="26"/>
      <c r="S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</row>
    <row r="201" spans="2:49" x14ac:dyDescent="0.25">
      <c r="B201" s="26"/>
      <c r="C201" s="26"/>
      <c r="D201" s="26"/>
      <c r="E201" s="26"/>
      <c r="F201" s="26"/>
      <c r="G201" s="50"/>
      <c r="H201" s="26"/>
      <c r="I201" s="26"/>
      <c r="J201" s="28"/>
      <c r="K201" s="26"/>
      <c r="L201" s="26"/>
      <c r="M201" s="28"/>
      <c r="N201" s="26"/>
      <c r="O201" s="26"/>
      <c r="P201" s="28"/>
      <c r="Q201" s="26"/>
      <c r="R201" s="26"/>
      <c r="S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</row>
    <row r="202" spans="2:49" x14ac:dyDescent="0.25">
      <c r="B202" s="26"/>
      <c r="C202" s="26"/>
      <c r="D202" s="26"/>
      <c r="E202" s="26"/>
      <c r="F202" s="26"/>
      <c r="G202" s="50"/>
      <c r="H202" s="26"/>
      <c r="I202" s="26"/>
      <c r="J202" s="28"/>
      <c r="K202" s="26"/>
      <c r="L202" s="26"/>
      <c r="M202" s="28"/>
      <c r="N202" s="26"/>
      <c r="O202" s="26"/>
      <c r="P202" s="28"/>
      <c r="Q202" s="26"/>
      <c r="R202" s="26"/>
      <c r="S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</row>
    <row r="203" spans="2:49" x14ac:dyDescent="0.25">
      <c r="B203" s="26"/>
      <c r="C203" s="26"/>
      <c r="D203" s="26"/>
      <c r="E203" s="26"/>
      <c r="F203" s="26"/>
      <c r="G203" s="50"/>
      <c r="H203" s="26"/>
      <c r="I203" s="26"/>
      <c r="J203" s="28"/>
      <c r="K203" s="26"/>
      <c r="L203" s="26"/>
      <c r="M203" s="28"/>
      <c r="N203" s="26"/>
      <c r="O203" s="26"/>
      <c r="P203" s="28"/>
      <c r="Q203" s="26"/>
      <c r="R203" s="26"/>
      <c r="S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</row>
    <row r="204" spans="2:49" x14ac:dyDescent="0.25">
      <c r="B204" s="26"/>
      <c r="C204" s="26"/>
      <c r="D204" s="26"/>
      <c r="E204" s="26"/>
      <c r="F204" s="26"/>
      <c r="G204" s="50"/>
      <c r="H204" s="26"/>
      <c r="I204" s="26"/>
      <c r="J204" s="28"/>
      <c r="K204" s="26"/>
      <c r="L204" s="26"/>
      <c r="M204" s="28"/>
      <c r="N204" s="26"/>
      <c r="O204" s="26"/>
      <c r="P204" s="28"/>
      <c r="Q204" s="26"/>
      <c r="R204" s="26"/>
      <c r="S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</row>
    <row r="205" spans="2:49" x14ac:dyDescent="0.25">
      <c r="B205" s="26"/>
      <c r="C205" s="26"/>
      <c r="D205" s="26"/>
      <c r="E205" s="26"/>
      <c r="F205" s="26"/>
      <c r="G205" s="50"/>
      <c r="H205" s="26"/>
      <c r="I205" s="26"/>
      <c r="J205" s="28"/>
      <c r="K205" s="26"/>
      <c r="L205" s="26"/>
      <c r="M205" s="28"/>
      <c r="N205" s="26"/>
      <c r="O205" s="26"/>
      <c r="P205" s="28"/>
      <c r="Q205" s="26"/>
      <c r="R205" s="26"/>
      <c r="S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</row>
    <row r="206" spans="2:49" x14ac:dyDescent="0.25">
      <c r="B206" s="26"/>
      <c r="C206" s="26"/>
      <c r="D206" s="26"/>
      <c r="E206" s="26"/>
      <c r="F206" s="26"/>
      <c r="G206" s="50"/>
      <c r="H206" s="26"/>
      <c r="I206" s="26"/>
      <c r="J206" s="28"/>
      <c r="K206" s="26"/>
      <c r="L206" s="26"/>
      <c r="M206" s="28"/>
      <c r="N206" s="26"/>
      <c r="O206" s="26"/>
      <c r="P206" s="28"/>
      <c r="Q206" s="26"/>
      <c r="R206" s="26"/>
      <c r="S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</row>
    <row r="207" spans="2:49" x14ac:dyDescent="0.25">
      <c r="B207" s="26"/>
      <c r="C207" s="26"/>
      <c r="D207" s="26"/>
      <c r="E207" s="26"/>
      <c r="F207" s="26"/>
      <c r="G207" s="50"/>
      <c r="H207" s="26"/>
      <c r="I207" s="26"/>
      <c r="J207" s="28"/>
      <c r="K207" s="26"/>
      <c r="L207" s="26"/>
      <c r="M207" s="28"/>
      <c r="N207" s="26"/>
      <c r="O207" s="26"/>
      <c r="P207" s="28"/>
      <c r="Q207" s="26"/>
      <c r="R207" s="26"/>
      <c r="S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</row>
    <row r="208" spans="2:49" x14ac:dyDescent="0.25">
      <c r="B208" s="26"/>
      <c r="C208" s="26"/>
      <c r="D208" s="26"/>
      <c r="E208" s="26"/>
      <c r="F208" s="26"/>
      <c r="G208" s="50"/>
      <c r="H208" s="26"/>
      <c r="I208" s="26"/>
      <c r="J208" s="28"/>
      <c r="K208" s="26"/>
      <c r="L208" s="26"/>
      <c r="M208" s="28"/>
      <c r="N208" s="26"/>
      <c r="O208" s="26"/>
      <c r="P208" s="28"/>
      <c r="Q208" s="26"/>
      <c r="R208" s="26"/>
      <c r="S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</row>
    <row r="209" spans="2:49" x14ac:dyDescent="0.25">
      <c r="B209" s="26"/>
      <c r="C209" s="26"/>
      <c r="D209" s="26"/>
      <c r="E209" s="26"/>
      <c r="F209" s="26"/>
      <c r="G209" s="50"/>
      <c r="H209" s="26"/>
      <c r="I209" s="26"/>
      <c r="J209" s="28"/>
      <c r="K209" s="26"/>
      <c r="L209" s="26"/>
      <c r="M209" s="28"/>
      <c r="N209" s="26"/>
      <c r="O209" s="26"/>
      <c r="P209" s="28"/>
      <c r="Q209" s="26"/>
      <c r="R209" s="26"/>
      <c r="S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</row>
    <row r="210" spans="2:49" x14ac:dyDescent="0.25">
      <c r="B210" s="26"/>
      <c r="C210" s="26"/>
      <c r="D210" s="26"/>
      <c r="E210" s="26"/>
      <c r="F210" s="26"/>
      <c r="G210" s="50"/>
      <c r="H210" s="26"/>
      <c r="I210" s="26"/>
      <c r="J210" s="28"/>
      <c r="K210" s="26"/>
      <c r="L210" s="26"/>
      <c r="M210" s="28"/>
      <c r="N210" s="26"/>
      <c r="O210" s="26"/>
      <c r="P210" s="28"/>
      <c r="Q210" s="26"/>
      <c r="R210" s="26"/>
      <c r="S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</row>
    <row r="211" spans="2:49" x14ac:dyDescent="0.25">
      <c r="B211" s="26"/>
      <c r="C211" s="26"/>
      <c r="D211" s="26"/>
      <c r="E211" s="26"/>
      <c r="F211" s="26"/>
      <c r="G211" s="50"/>
      <c r="H211" s="26"/>
      <c r="I211" s="26"/>
      <c r="J211" s="28"/>
      <c r="K211" s="26"/>
      <c r="L211" s="26"/>
      <c r="M211" s="28"/>
      <c r="N211" s="26"/>
      <c r="O211" s="26"/>
      <c r="P211" s="28"/>
      <c r="Q211" s="26"/>
      <c r="R211" s="26"/>
      <c r="S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</row>
    <row r="212" spans="2:49" x14ac:dyDescent="0.25">
      <c r="B212" s="26"/>
      <c r="C212" s="26"/>
      <c r="D212" s="26"/>
      <c r="E212" s="26"/>
      <c r="F212" s="26"/>
      <c r="G212" s="50"/>
      <c r="H212" s="26"/>
      <c r="I212" s="26"/>
      <c r="J212" s="28"/>
      <c r="K212" s="26"/>
      <c r="L212" s="26"/>
      <c r="M212" s="28"/>
      <c r="N212" s="26"/>
      <c r="O212" s="26"/>
      <c r="P212" s="28"/>
      <c r="Q212" s="26"/>
      <c r="R212" s="26"/>
      <c r="S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</row>
    <row r="213" spans="2:49" x14ac:dyDescent="0.25">
      <c r="B213" s="26"/>
      <c r="C213" s="26"/>
      <c r="D213" s="26"/>
      <c r="E213" s="26"/>
      <c r="F213" s="26"/>
      <c r="G213" s="50"/>
      <c r="H213" s="26"/>
      <c r="I213" s="26"/>
      <c r="J213" s="28"/>
      <c r="K213" s="26"/>
      <c r="L213" s="26"/>
      <c r="M213" s="28"/>
      <c r="N213" s="26"/>
      <c r="O213" s="26"/>
      <c r="P213" s="28"/>
      <c r="Q213" s="26"/>
      <c r="R213" s="26"/>
      <c r="S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</row>
    <row r="214" spans="2:49" x14ac:dyDescent="0.25">
      <c r="B214" s="26"/>
      <c r="C214" s="26"/>
      <c r="D214" s="26"/>
      <c r="E214" s="26"/>
      <c r="F214" s="26"/>
      <c r="G214" s="50"/>
      <c r="H214" s="26"/>
      <c r="I214" s="26"/>
      <c r="J214" s="28"/>
      <c r="K214" s="26"/>
      <c r="L214" s="26"/>
      <c r="M214" s="28"/>
      <c r="N214" s="26"/>
      <c r="O214" s="26"/>
      <c r="P214" s="28"/>
      <c r="Q214" s="26"/>
      <c r="R214" s="26"/>
      <c r="S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</row>
    <row r="215" spans="2:49" x14ac:dyDescent="0.25">
      <c r="B215" s="26"/>
      <c r="C215" s="26"/>
      <c r="D215" s="26"/>
      <c r="E215" s="26"/>
      <c r="F215" s="26"/>
      <c r="G215" s="50"/>
      <c r="H215" s="26"/>
      <c r="I215" s="26"/>
      <c r="J215" s="28"/>
      <c r="K215" s="26"/>
      <c r="L215" s="26"/>
      <c r="M215" s="28"/>
      <c r="N215" s="26"/>
      <c r="O215" s="26"/>
      <c r="P215" s="28"/>
      <c r="Q215" s="26"/>
      <c r="R215" s="26"/>
      <c r="S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</row>
    <row r="216" spans="2:49" x14ac:dyDescent="0.25">
      <c r="B216" s="26"/>
      <c r="C216" s="26"/>
      <c r="D216" s="26"/>
      <c r="E216" s="26"/>
      <c r="F216" s="26"/>
      <c r="G216" s="50"/>
      <c r="H216" s="26"/>
      <c r="I216" s="26"/>
      <c r="J216" s="28"/>
      <c r="K216" s="26"/>
      <c r="L216" s="26"/>
      <c r="M216" s="28"/>
      <c r="N216" s="26"/>
      <c r="O216" s="26"/>
      <c r="P216" s="28"/>
      <c r="Q216" s="26"/>
      <c r="R216" s="26"/>
      <c r="S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</row>
    <row r="217" spans="2:49" x14ac:dyDescent="0.25">
      <c r="B217" s="26"/>
      <c r="C217" s="26"/>
      <c r="D217" s="26"/>
      <c r="E217" s="26"/>
      <c r="F217" s="26"/>
      <c r="G217" s="50"/>
      <c r="H217" s="26"/>
      <c r="I217" s="26"/>
      <c r="J217" s="28"/>
      <c r="K217" s="26"/>
      <c r="L217" s="26"/>
      <c r="M217" s="28"/>
      <c r="N217" s="26"/>
      <c r="O217" s="26"/>
      <c r="P217" s="28"/>
      <c r="Q217" s="26"/>
      <c r="R217" s="26"/>
      <c r="S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</row>
    <row r="218" spans="2:49" x14ac:dyDescent="0.25">
      <c r="B218" s="26"/>
      <c r="C218" s="26"/>
      <c r="D218" s="26"/>
      <c r="E218" s="26"/>
      <c r="F218" s="26"/>
      <c r="G218" s="50"/>
      <c r="H218" s="26"/>
      <c r="I218" s="26"/>
      <c r="J218" s="28"/>
      <c r="K218" s="26"/>
      <c r="L218" s="26"/>
      <c r="M218" s="28"/>
      <c r="N218" s="26"/>
      <c r="O218" s="26"/>
      <c r="P218" s="28"/>
      <c r="Q218" s="26"/>
      <c r="R218" s="26"/>
      <c r="S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</row>
    <row r="219" spans="2:49" x14ac:dyDescent="0.25">
      <c r="B219" s="26"/>
      <c r="C219" s="26"/>
      <c r="D219" s="26"/>
      <c r="E219" s="26"/>
      <c r="F219" s="26"/>
      <c r="G219" s="50"/>
      <c r="H219" s="26"/>
      <c r="I219" s="26"/>
      <c r="J219" s="28"/>
      <c r="K219" s="26"/>
      <c r="L219" s="26"/>
      <c r="M219" s="28"/>
      <c r="N219" s="26"/>
      <c r="O219" s="26"/>
      <c r="P219" s="28"/>
      <c r="Q219" s="26"/>
      <c r="R219" s="26"/>
      <c r="S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</row>
    <row r="220" spans="2:49" x14ac:dyDescent="0.25">
      <c r="B220" s="26"/>
      <c r="C220" s="26"/>
      <c r="D220" s="26"/>
      <c r="E220" s="26"/>
      <c r="F220" s="26"/>
      <c r="G220" s="50"/>
      <c r="H220" s="26"/>
      <c r="I220" s="26"/>
      <c r="J220" s="28"/>
      <c r="K220" s="26"/>
      <c r="L220" s="26"/>
      <c r="M220" s="28"/>
      <c r="N220" s="26"/>
      <c r="O220" s="26"/>
      <c r="P220" s="28"/>
      <c r="Q220" s="26"/>
      <c r="R220" s="26"/>
      <c r="S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</row>
    <row r="221" spans="2:49" x14ac:dyDescent="0.25">
      <c r="B221" s="26"/>
      <c r="C221" s="26"/>
      <c r="D221" s="26"/>
      <c r="E221" s="26"/>
      <c r="F221" s="26"/>
      <c r="G221" s="50"/>
      <c r="H221" s="26"/>
      <c r="I221" s="26"/>
      <c r="J221" s="28"/>
      <c r="K221" s="26"/>
      <c r="L221" s="26"/>
      <c r="M221" s="28"/>
      <c r="N221" s="26"/>
      <c r="O221" s="26"/>
      <c r="P221" s="28"/>
      <c r="Q221" s="26"/>
      <c r="R221" s="26"/>
      <c r="S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</row>
    <row r="222" spans="2:49" x14ac:dyDescent="0.25">
      <c r="B222" s="26"/>
      <c r="C222" s="26"/>
      <c r="D222" s="26"/>
      <c r="E222" s="26"/>
      <c r="F222" s="26"/>
      <c r="G222" s="50"/>
      <c r="H222" s="26"/>
      <c r="I222" s="26"/>
      <c r="J222" s="28"/>
      <c r="K222" s="26"/>
      <c r="L222" s="26"/>
      <c r="M222" s="28"/>
      <c r="N222" s="26"/>
      <c r="O222" s="26"/>
      <c r="P222" s="28"/>
      <c r="Q222" s="26"/>
      <c r="R222" s="26"/>
      <c r="S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</row>
    <row r="223" spans="2:49" x14ac:dyDescent="0.25">
      <c r="B223" s="26"/>
      <c r="C223" s="26"/>
      <c r="D223" s="26"/>
      <c r="E223" s="26"/>
      <c r="F223" s="26"/>
      <c r="G223" s="50"/>
      <c r="H223" s="26"/>
      <c r="I223" s="26"/>
      <c r="J223" s="28"/>
      <c r="K223" s="26"/>
      <c r="L223" s="26"/>
      <c r="M223" s="28"/>
      <c r="N223" s="26"/>
      <c r="O223" s="26"/>
      <c r="P223" s="28"/>
      <c r="Q223" s="26"/>
      <c r="R223" s="26"/>
      <c r="S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</row>
    <row r="224" spans="2:49" x14ac:dyDescent="0.25">
      <c r="B224" s="26"/>
      <c r="C224" s="26"/>
      <c r="D224" s="26"/>
      <c r="E224" s="26"/>
      <c r="F224" s="26"/>
      <c r="G224" s="50"/>
      <c r="H224" s="26"/>
      <c r="I224" s="26"/>
      <c r="J224" s="28"/>
      <c r="K224" s="26"/>
      <c r="L224" s="26"/>
      <c r="M224" s="28"/>
      <c r="N224" s="26"/>
      <c r="O224" s="26"/>
      <c r="P224" s="28"/>
      <c r="Q224" s="26"/>
      <c r="R224" s="26"/>
      <c r="S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</row>
    <row r="225" spans="2:49" x14ac:dyDescent="0.25">
      <c r="B225" s="26"/>
      <c r="C225" s="26"/>
      <c r="D225" s="26"/>
      <c r="E225" s="26"/>
      <c r="F225" s="26"/>
      <c r="G225" s="50"/>
      <c r="H225" s="26"/>
      <c r="I225" s="26"/>
      <c r="J225" s="28"/>
      <c r="K225" s="26"/>
      <c r="L225" s="26"/>
      <c r="M225" s="28"/>
      <c r="N225" s="26"/>
      <c r="O225" s="26"/>
      <c r="P225" s="28"/>
      <c r="Q225" s="26"/>
      <c r="R225" s="26"/>
      <c r="S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</row>
    <row r="226" spans="2:49" x14ac:dyDescent="0.25">
      <c r="B226" s="26"/>
      <c r="C226" s="26"/>
      <c r="D226" s="26"/>
      <c r="E226" s="26"/>
      <c r="F226" s="26"/>
      <c r="G226" s="50"/>
      <c r="H226" s="26"/>
      <c r="I226" s="26"/>
      <c r="J226" s="28"/>
      <c r="K226" s="26"/>
      <c r="L226" s="26"/>
      <c r="M226" s="28"/>
      <c r="N226" s="26"/>
      <c r="O226" s="26"/>
      <c r="P226" s="28"/>
      <c r="Q226" s="26"/>
      <c r="R226" s="26"/>
      <c r="S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</row>
    <row r="227" spans="2:49" x14ac:dyDescent="0.25">
      <c r="B227" s="26"/>
      <c r="C227" s="26"/>
      <c r="D227" s="26"/>
      <c r="E227" s="26"/>
      <c r="F227" s="26"/>
      <c r="G227" s="50"/>
      <c r="H227" s="26"/>
      <c r="I227" s="26"/>
      <c r="J227" s="28"/>
      <c r="K227" s="26"/>
      <c r="L227" s="26"/>
      <c r="M227" s="28"/>
      <c r="N227" s="26"/>
      <c r="O227" s="26"/>
      <c r="P227" s="28"/>
      <c r="Q227" s="26"/>
      <c r="R227" s="26"/>
      <c r="S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</row>
    <row r="228" spans="2:49" x14ac:dyDescent="0.25">
      <c r="B228" s="26"/>
      <c r="C228" s="26"/>
      <c r="D228" s="26"/>
      <c r="E228" s="26"/>
      <c r="F228" s="26"/>
      <c r="G228" s="50"/>
      <c r="H228" s="26"/>
      <c r="I228" s="26"/>
      <c r="J228" s="28"/>
      <c r="K228" s="26"/>
      <c r="L228" s="26"/>
      <c r="M228" s="28"/>
      <c r="N228" s="26"/>
      <c r="O228" s="26"/>
      <c r="P228" s="28"/>
      <c r="Q228" s="26"/>
      <c r="R228" s="26"/>
      <c r="S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</row>
    <row r="229" spans="2:49" x14ac:dyDescent="0.25">
      <c r="B229" s="26"/>
      <c r="C229" s="26"/>
      <c r="D229" s="26"/>
      <c r="E229" s="26"/>
      <c r="F229" s="26"/>
      <c r="G229" s="50"/>
      <c r="H229" s="26"/>
      <c r="I229" s="26"/>
      <c r="J229" s="28"/>
      <c r="K229" s="26"/>
      <c r="L229" s="26"/>
      <c r="M229" s="28"/>
      <c r="N229" s="26"/>
      <c r="O229" s="26"/>
      <c r="P229" s="28"/>
      <c r="Q229" s="26"/>
      <c r="R229" s="26"/>
      <c r="S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</row>
    <row r="230" spans="2:49" x14ac:dyDescent="0.25">
      <c r="B230" s="26"/>
      <c r="C230" s="26"/>
      <c r="D230" s="26"/>
      <c r="E230" s="26"/>
      <c r="F230" s="26"/>
      <c r="G230" s="50"/>
      <c r="H230" s="26"/>
      <c r="I230" s="26"/>
      <c r="J230" s="28"/>
      <c r="K230" s="26"/>
      <c r="L230" s="26"/>
      <c r="M230" s="28"/>
      <c r="N230" s="26"/>
      <c r="O230" s="26"/>
      <c r="P230" s="28"/>
      <c r="Q230" s="26"/>
      <c r="R230" s="26"/>
      <c r="S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</row>
    <row r="231" spans="2:49" x14ac:dyDescent="0.25">
      <c r="B231" s="26"/>
      <c r="C231" s="26"/>
      <c r="D231" s="26"/>
      <c r="E231" s="26"/>
      <c r="F231" s="26"/>
      <c r="G231" s="50"/>
      <c r="H231" s="26"/>
      <c r="I231" s="26"/>
      <c r="J231" s="28"/>
      <c r="K231" s="26"/>
      <c r="L231" s="26"/>
      <c r="M231" s="28"/>
      <c r="N231" s="26"/>
      <c r="O231" s="26"/>
      <c r="P231" s="28"/>
      <c r="Q231" s="26"/>
      <c r="R231" s="26"/>
      <c r="S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</row>
    <row r="232" spans="2:49" x14ac:dyDescent="0.25">
      <c r="B232" s="26"/>
      <c r="C232" s="26"/>
      <c r="D232" s="26"/>
      <c r="E232" s="26"/>
      <c r="F232" s="26"/>
      <c r="G232" s="50"/>
      <c r="H232" s="26"/>
      <c r="I232" s="26"/>
      <c r="J232" s="28"/>
      <c r="K232" s="26"/>
      <c r="L232" s="26"/>
      <c r="M232" s="28"/>
      <c r="N232" s="26"/>
      <c r="O232" s="26"/>
      <c r="P232" s="28"/>
      <c r="Q232" s="26"/>
      <c r="R232" s="26"/>
      <c r="S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</row>
    <row r="233" spans="2:49" x14ac:dyDescent="0.25">
      <c r="B233" s="26"/>
      <c r="C233" s="26"/>
      <c r="D233" s="26"/>
      <c r="E233" s="26"/>
      <c r="F233" s="26"/>
      <c r="G233" s="50"/>
      <c r="H233" s="26"/>
      <c r="I233" s="26"/>
      <c r="J233" s="28"/>
      <c r="K233" s="26"/>
      <c r="L233" s="26"/>
      <c r="M233" s="28"/>
      <c r="N233" s="26"/>
      <c r="O233" s="26"/>
      <c r="P233" s="28"/>
      <c r="Q233" s="26"/>
      <c r="R233" s="26"/>
      <c r="S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</row>
    <row r="234" spans="2:49" x14ac:dyDescent="0.25">
      <c r="B234" s="26"/>
      <c r="C234" s="26"/>
      <c r="D234" s="26"/>
      <c r="E234" s="26"/>
      <c r="F234" s="26"/>
      <c r="G234" s="50"/>
      <c r="H234" s="26"/>
      <c r="I234" s="26"/>
      <c r="J234" s="28"/>
      <c r="K234" s="26"/>
      <c r="L234" s="26"/>
      <c r="M234" s="28"/>
      <c r="N234" s="26"/>
      <c r="O234" s="26"/>
      <c r="P234" s="28"/>
      <c r="Q234" s="26"/>
      <c r="R234" s="26"/>
      <c r="S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</row>
    <row r="235" spans="2:49" x14ac:dyDescent="0.25">
      <c r="B235" s="26"/>
      <c r="C235" s="26"/>
      <c r="D235" s="26"/>
      <c r="E235" s="26"/>
      <c r="F235" s="26"/>
      <c r="G235" s="50"/>
      <c r="H235" s="26"/>
      <c r="I235" s="26"/>
      <c r="J235" s="28"/>
      <c r="K235" s="26"/>
      <c r="L235" s="26"/>
      <c r="M235" s="28"/>
      <c r="N235" s="26"/>
      <c r="O235" s="26"/>
      <c r="P235" s="28"/>
      <c r="Q235" s="26"/>
      <c r="R235" s="26"/>
      <c r="S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</row>
    <row r="236" spans="2:49" x14ac:dyDescent="0.25">
      <c r="B236" s="26"/>
      <c r="C236" s="26"/>
      <c r="D236" s="26"/>
      <c r="E236" s="26"/>
      <c r="F236" s="26"/>
      <c r="G236" s="50"/>
      <c r="H236" s="26"/>
      <c r="I236" s="26"/>
      <c r="J236" s="28"/>
      <c r="K236" s="26"/>
      <c r="L236" s="26"/>
      <c r="M236" s="28"/>
      <c r="N236" s="26"/>
      <c r="O236" s="26"/>
      <c r="P236" s="28"/>
      <c r="Q236" s="26"/>
      <c r="R236" s="26"/>
      <c r="S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</row>
    <row r="237" spans="2:49" x14ac:dyDescent="0.25">
      <c r="B237" s="26"/>
      <c r="C237" s="26"/>
      <c r="D237" s="26"/>
      <c r="E237" s="26"/>
      <c r="F237" s="26"/>
      <c r="G237" s="50"/>
      <c r="H237" s="26"/>
      <c r="I237" s="26"/>
      <c r="J237" s="28"/>
      <c r="K237" s="26"/>
      <c r="L237" s="26"/>
      <c r="M237" s="28"/>
      <c r="N237" s="26"/>
      <c r="O237" s="26"/>
      <c r="P237" s="28"/>
      <c r="Q237" s="26"/>
      <c r="R237" s="26"/>
      <c r="S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</row>
    <row r="238" spans="2:49" x14ac:dyDescent="0.25">
      <c r="B238" s="26"/>
      <c r="C238" s="26"/>
      <c r="D238" s="26"/>
      <c r="E238" s="26"/>
      <c r="F238" s="26"/>
      <c r="G238" s="50"/>
      <c r="H238" s="26"/>
      <c r="I238" s="26"/>
      <c r="J238" s="28"/>
      <c r="K238" s="26"/>
      <c r="L238" s="26"/>
      <c r="M238" s="28"/>
      <c r="N238" s="26"/>
      <c r="O238" s="26"/>
      <c r="P238" s="28"/>
      <c r="Q238" s="26"/>
      <c r="R238" s="26"/>
      <c r="S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</row>
    <row r="239" spans="2:49" x14ac:dyDescent="0.25">
      <c r="B239" s="26"/>
      <c r="C239" s="26"/>
      <c r="D239" s="26"/>
      <c r="E239" s="26"/>
      <c r="F239" s="26"/>
      <c r="G239" s="50"/>
      <c r="H239" s="26"/>
      <c r="I239" s="26"/>
      <c r="J239" s="28"/>
      <c r="K239" s="26"/>
      <c r="L239" s="26"/>
      <c r="M239" s="28"/>
      <c r="N239" s="26"/>
      <c r="O239" s="26"/>
      <c r="P239" s="28"/>
      <c r="Q239" s="26"/>
      <c r="R239" s="26"/>
      <c r="S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</row>
    <row r="240" spans="2:49" x14ac:dyDescent="0.25">
      <c r="B240" s="26"/>
      <c r="C240" s="26"/>
      <c r="D240" s="26"/>
      <c r="E240" s="26"/>
      <c r="F240" s="26"/>
      <c r="G240" s="50"/>
      <c r="H240" s="26"/>
      <c r="I240" s="26"/>
      <c r="J240" s="28"/>
      <c r="K240" s="26"/>
      <c r="L240" s="26"/>
      <c r="M240" s="28"/>
      <c r="N240" s="26"/>
      <c r="O240" s="26"/>
      <c r="P240" s="28"/>
      <c r="Q240" s="26"/>
      <c r="R240" s="26"/>
      <c r="S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</row>
    <row r="241" spans="2:49" x14ac:dyDescent="0.25">
      <c r="B241" s="26"/>
      <c r="C241" s="26"/>
      <c r="D241" s="26"/>
      <c r="E241" s="26"/>
      <c r="F241" s="26"/>
      <c r="G241" s="50"/>
      <c r="H241" s="26"/>
      <c r="I241" s="26"/>
      <c r="J241" s="28"/>
      <c r="K241" s="26"/>
      <c r="L241" s="26"/>
      <c r="M241" s="28"/>
      <c r="N241" s="26"/>
      <c r="O241" s="26"/>
      <c r="P241" s="28"/>
      <c r="Q241" s="26"/>
      <c r="R241" s="26"/>
      <c r="S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</row>
    <row r="242" spans="2:49" x14ac:dyDescent="0.25">
      <c r="B242" s="26"/>
      <c r="C242" s="26"/>
      <c r="D242" s="26"/>
      <c r="E242" s="26"/>
      <c r="F242" s="26"/>
      <c r="G242" s="50"/>
      <c r="H242" s="26"/>
      <c r="I242" s="26"/>
      <c r="J242" s="28"/>
      <c r="K242" s="26"/>
      <c r="L242" s="26"/>
      <c r="M242" s="28"/>
      <c r="N242" s="26"/>
      <c r="O242" s="26"/>
      <c r="P242" s="28"/>
      <c r="Q242" s="26"/>
      <c r="R242" s="26"/>
      <c r="S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</row>
    <row r="243" spans="2:49" x14ac:dyDescent="0.25">
      <c r="B243" s="26"/>
      <c r="C243" s="26"/>
      <c r="D243" s="26"/>
      <c r="E243" s="26"/>
      <c r="F243" s="26"/>
      <c r="G243" s="50"/>
      <c r="H243" s="26"/>
      <c r="I243" s="26"/>
      <c r="J243" s="28"/>
      <c r="K243" s="26"/>
      <c r="L243" s="26"/>
      <c r="M243" s="28"/>
      <c r="N243" s="26"/>
      <c r="O243" s="26"/>
      <c r="P243" s="28"/>
      <c r="Q243" s="26"/>
      <c r="R243" s="26"/>
      <c r="S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</row>
    <row r="244" spans="2:49" x14ac:dyDescent="0.25">
      <c r="B244" s="26"/>
      <c r="C244" s="26"/>
      <c r="D244" s="26"/>
      <c r="E244" s="26"/>
      <c r="F244" s="26"/>
      <c r="G244" s="50"/>
      <c r="H244" s="26"/>
      <c r="I244" s="26"/>
      <c r="J244" s="28"/>
      <c r="K244" s="26"/>
      <c r="L244" s="26"/>
      <c r="M244" s="28"/>
      <c r="N244" s="26"/>
      <c r="O244" s="26"/>
      <c r="P244" s="28"/>
      <c r="Q244" s="26"/>
      <c r="R244" s="26"/>
      <c r="S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</row>
    <row r="245" spans="2:49" x14ac:dyDescent="0.25">
      <c r="B245" s="26"/>
      <c r="C245" s="26"/>
      <c r="D245" s="26"/>
      <c r="E245" s="26"/>
      <c r="F245" s="26"/>
      <c r="G245" s="50"/>
      <c r="H245" s="26"/>
      <c r="I245" s="26"/>
      <c r="J245" s="28"/>
      <c r="K245" s="26"/>
      <c r="L245" s="26"/>
      <c r="M245" s="28"/>
      <c r="N245" s="26"/>
      <c r="O245" s="26"/>
      <c r="P245" s="28"/>
      <c r="Q245" s="26"/>
      <c r="R245" s="26"/>
      <c r="S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</row>
    <row r="246" spans="2:49" x14ac:dyDescent="0.25">
      <c r="B246" s="26"/>
      <c r="C246" s="26"/>
      <c r="D246" s="26"/>
      <c r="E246" s="26"/>
      <c r="F246" s="26"/>
      <c r="G246" s="50"/>
      <c r="H246" s="26"/>
      <c r="I246" s="26"/>
      <c r="J246" s="28"/>
      <c r="K246" s="26"/>
      <c r="L246" s="26"/>
      <c r="M246" s="28"/>
      <c r="N246" s="26"/>
      <c r="O246" s="26"/>
      <c r="P246" s="28"/>
      <c r="Q246" s="26"/>
      <c r="R246" s="26"/>
      <c r="S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</row>
    <row r="247" spans="2:49" x14ac:dyDescent="0.25">
      <c r="B247" s="26"/>
      <c r="C247" s="26"/>
      <c r="D247" s="26"/>
      <c r="E247" s="26"/>
      <c r="F247" s="26"/>
      <c r="G247" s="50"/>
      <c r="H247" s="26"/>
      <c r="I247" s="26"/>
      <c r="J247" s="28"/>
      <c r="K247" s="26"/>
      <c r="L247" s="26"/>
      <c r="M247" s="28"/>
      <c r="N247" s="26"/>
      <c r="O247" s="26"/>
      <c r="P247" s="28"/>
      <c r="Q247" s="26"/>
      <c r="R247" s="26"/>
      <c r="S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</row>
    <row r="248" spans="2:49" x14ac:dyDescent="0.25">
      <c r="B248" s="26"/>
      <c r="C248" s="26"/>
      <c r="D248" s="26"/>
      <c r="E248" s="26"/>
      <c r="F248" s="26"/>
      <c r="G248" s="50"/>
      <c r="H248" s="26"/>
      <c r="I248" s="26"/>
      <c r="J248" s="28"/>
      <c r="K248" s="26"/>
      <c r="L248" s="26"/>
      <c r="M248" s="28"/>
      <c r="N248" s="26"/>
      <c r="O248" s="26"/>
      <c r="P248" s="28"/>
      <c r="Q248" s="26"/>
      <c r="R248" s="26"/>
      <c r="S248" s="26"/>
      <c r="V248" s="26"/>
      <c r="W248" s="26"/>
      <c r="X248" s="26"/>
      <c r="Y248" s="26"/>
      <c r="Z248" s="26"/>
      <c r="AA248" s="26"/>
      <c r="AB248" s="26"/>
    </row>
    <row r="249" spans="2:49" x14ac:dyDescent="0.25">
      <c r="B249" s="26"/>
      <c r="C249" s="26"/>
      <c r="D249" s="26"/>
      <c r="E249" s="26"/>
      <c r="F249" s="26"/>
      <c r="G249" s="50"/>
      <c r="H249" s="26"/>
      <c r="I249" s="26"/>
      <c r="J249" s="28"/>
      <c r="K249" s="26"/>
      <c r="L249" s="26"/>
      <c r="M249" s="28"/>
      <c r="N249" s="26"/>
      <c r="O249" s="26"/>
      <c r="P249" s="28"/>
      <c r="Q249" s="26"/>
      <c r="R249" s="26"/>
      <c r="S249" s="26"/>
      <c r="V249" s="26"/>
      <c r="W249" s="26"/>
      <c r="X249" s="26"/>
      <c r="Y249" s="26"/>
      <c r="Z249" s="26"/>
      <c r="AA249" s="26"/>
      <c r="AB249" s="26"/>
    </row>
    <row r="250" spans="2:49" x14ac:dyDescent="0.25">
      <c r="B250" s="26"/>
      <c r="C250" s="26"/>
      <c r="D250" s="26"/>
      <c r="E250" s="26"/>
      <c r="F250" s="26"/>
      <c r="G250" s="50"/>
      <c r="H250" s="26"/>
      <c r="I250" s="26"/>
      <c r="J250" s="28"/>
      <c r="K250" s="26"/>
      <c r="L250" s="26"/>
      <c r="M250" s="28"/>
      <c r="N250" s="26"/>
      <c r="O250" s="26"/>
      <c r="P250" s="28"/>
      <c r="Q250" s="26"/>
      <c r="R250" s="26"/>
      <c r="S250" s="26"/>
      <c r="V250" s="26"/>
      <c r="W250" s="26"/>
      <c r="X250" s="26"/>
      <c r="Y250" s="26"/>
      <c r="Z250" s="26"/>
      <c r="AA250" s="26"/>
      <c r="AB250" s="26"/>
    </row>
    <row r="251" spans="2:49" x14ac:dyDescent="0.25">
      <c r="B251" s="26"/>
      <c r="C251" s="26"/>
      <c r="D251" s="26"/>
      <c r="E251" s="26"/>
      <c r="F251" s="26"/>
      <c r="G251" s="50"/>
      <c r="H251" s="26"/>
      <c r="I251" s="26"/>
      <c r="J251" s="28"/>
      <c r="K251" s="26"/>
      <c r="L251" s="26"/>
      <c r="M251" s="28"/>
      <c r="N251" s="26"/>
      <c r="O251" s="26"/>
      <c r="P251" s="28"/>
      <c r="Q251" s="26"/>
      <c r="R251" s="26"/>
      <c r="S251" s="26"/>
      <c r="V251" s="26"/>
      <c r="W251" s="26"/>
      <c r="X251" s="26"/>
      <c r="Y251" s="26"/>
      <c r="Z251" s="26"/>
      <c r="AA251" s="26"/>
      <c r="AB251" s="26"/>
    </row>
    <row r="252" spans="2:49" x14ac:dyDescent="0.25">
      <c r="B252" s="26"/>
      <c r="C252" s="26"/>
      <c r="D252" s="26"/>
      <c r="E252" s="26"/>
      <c r="F252" s="26"/>
      <c r="G252" s="50"/>
      <c r="H252" s="26"/>
      <c r="I252" s="26"/>
      <c r="J252" s="28"/>
      <c r="K252" s="26"/>
      <c r="L252" s="26"/>
      <c r="M252" s="28"/>
      <c r="N252" s="26"/>
      <c r="O252" s="26"/>
      <c r="P252" s="28"/>
      <c r="Q252" s="26"/>
      <c r="R252" s="26"/>
      <c r="S252" s="26"/>
      <c r="V252" s="26"/>
      <c r="W252" s="26"/>
      <c r="X252" s="26"/>
      <c r="Y252" s="26"/>
      <c r="Z252" s="26"/>
      <c r="AA252" s="26"/>
      <c r="AB252" s="26"/>
    </row>
    <row r="253" spans="2:49" x14ac:dyDescent="0.25">
      <c r="B253" s="26"/>
      <c r="C253" s="26"/>
      <c r="D253" s="26"/>
      <c r="E253" s="26"/>
      <c r="F253" s="26"/>
      <c r="G253" s="50"/>
      <c r="H253" s="26"/>
      <c r="I253" s="26"/>
      <c r="J253" s="28"/>
      <c r="K253" s="26"/>
      <c r="L253" s="26"/>
      <c r="M253" s="28"/>
      <c r="N253" s="26"/>
      <c r="O253" s="26"/>
      <c r="P253" s="28"/>
      <c r="Q253" s="26"/>
      <c r="R253" s="26"/>
      <c r="S253" s="26"/>
      <c r="V253" s="26"/>
      <c r="W253" s="26"/>
      <c r="X253" s="26"/>
      <c r="Y253" s="26"/>
      <c r="Z253" s="26"/>
      <c r="AA253" s="26"/>
      <c r="AB253" s="26"/>
    </row>
    <row r="254" spans="2:49" x14ac:dyDescent="0.25">
      <c r="B254" s="26"/>
      <c r="C254" s="26"/>
      <c r="D254" s="26"/>
      <c r="E254" s="26"/>
      <c r="F254" s="26"/>
      <c r="G254" s="50"/>
      <c r="H254" s="26"/>
      <c r="I254" s="26"/>
      <c r="J254" s="28"/>
      <c r="K254" s="26"/>
      <c r="L254" s="26"/>
      <c r="M254" s="28"/>
      <c r="N254" s="26"/>
      <c r="O254" s="26"/>
      <c r="P254" s="28"/>
      <c r="Q254" s="26"/>
      <c r="R254" s="26"/>
      <c r="S254" s="26"/>
      <c r="V254" s="26"/>
      <c r="W254" s="26"/>
      <c r="X254" s="26"/>
      <c r="Y254" s="26"/>
      <c r="Z254" s="26"/>
      <c r="AA254" s="26"/>
      <c r="AB254" s="26"/>
    </row>
    <row r="255" spans="2:49" x14ac:dyDescent="0.25">
      <c r="B255" s="26"/>
      <c r="C255" s="26"/>
      <c r="D255" s="26"/>
      <c r="E255" s="26"/>
      <c r="F255" s="26"/>
      <c r="G255" s="50"/>
      <c r="H255" s="26"/>
      <c r="I255" s="26"/>
      <c r="J255" s="28"/>
      <c r="K255" s="26"/>
      <c r="L255" s="26"/>
      <c r="M255" s="28"/>
      <c r="N255" s="26"/>
      <c r="O255" s="26"/>
      <c r="P255" s="28"/>
      <c r="Q255" s="26"/>
      <c r="R255" s="26"/>
      <c r="S255" s="26"/>
      <c r="V255" s="26"/>
      <c r="W255" s="26"/>
      <c r="X255" s="26"/>
      <c r="Y255" s="26"/>
      <c r="Z255" s="26"/>
      <c r="AA255" s="26"/>
      <c r="AB255" s="26"/>
    </row>
    <row r="256" spans="2:49" x14ac:dyDescent="0.25">
      <c r="B256" s="26"/>
      <c r="C256" s="26"/>
      <c r="D256" s="26"/>
      <c r="E256" s="26"/>
      <c r="F256" s="26"/>
      <c r="G256" s="50"/>
      <c r="H256" s="26"/>
      <c r="I256" s="26"/>
      <c r="J256" s="28"/>
      <c r="K256" s="26"/>
      <c r="L256" s="26"/>
      <c r="M256" s="28"/>
      <c r="N256" s="26"/>
      <c r="O256" s="26"/>
      <c r="P256" s="28"/>
      <c r="Q256" s="26"/>
      <c r="R256" s="26"/>
      <c r="S256" s="26"/>
      <c r="V256" s="26"/>
      <c r="W256" s="26"/>
      <c r="X256" s="26"/>
      <c r="Y256" s="26"/>
      <c r="Z256" s="26"/>
      <c r="AA256" s="26"/>
      <c r="AB256" s="26"/>
    </row>
    <row r="257" spans="2:28" x14ac:dyDescent="0.25">
      <c r="B257" s="26"/>
      <c r="C257" s="26"/>
      <c r="D257" s="26"/>
      <c r="E257" s="26"/>
      <c r="F257" s="26"/>
      <c r="G257" s="50"/>
      <c r="H257" s="26"/>
      <c r="I257" s="26"/>
      <c r="J257" s="28"/>
      <c r="K257" s="26"/>
      <c r="L257" s="26"/>
      <c r="M257" s="28"/>
      <c r="N257" s="26"/>
      <c r="O257" s="26"/>
      <c r="P257" s="28"/>
      <c r="Q257" s="26"/>
      <c r="R257" s="26"/>
      <c r="S257" s="26"/>
      <c r="V257" s="26"/>
      <c r="W257" s="26"/>
      <c r="X257" s="26"/>
      <c r="Y257" s="26"/>
      <c r="Z257" s="26"/>
      <c r="AA257" s="26"/>
      <c r="AB257" s="26"/>
    </row>
    <row r="258" spans="2:28" x14ac:dyDescent="0.25">
      <c r="B258" s="26"/>
      <c r="C258" s="26"/>
      <c r="D258" s="26"/>
      <c r="E258" s="26"/>
      <c r="F258" s="26"/>
      <c r="G258" s="50"/>
      <c r="H258" s="26"/>
      <c r="I258" s="26"/>
      <c r="J258" s="28"/>
      <c r="K258" s="26"/>
      <c r="L258" s="26"/>
      <c r="M258" s="28"/>
      <c r="N258" s="26"/>
      <c r="O258" s="26"/>
      <c r="P258" s="28"/>
      <c r="Q258" s="26"/>
      <c r="R258" s="26"/>
      <c r="S258" s="26"/>
      <c r="V258" s="26"/>
      <c r="W258" s="26"/>
      <c r="X258" s="26"/>
      <c r="Y258" s="26"/>
      <c r="Z258" s="26"/>
      <c r="AA258" s="26"/>
      <c r="AB258" s="26"/>
    </row>
    <row r="259" spans="2:28" x14ac:dyDescent="0.25">
      <c r="B259" s="26"/>
      <c r="C259" s="26"/>
      <c r="D259" s="26"/>
      <c r="E259" s="26"/>
      <c r="F259" s="26"/>
      <c r="G259" s="50"/>
      <c r="H259" s="26"/>
      <c r="I259" s="26"/>
      <c r="J259" s="28"/>
      <c r="K259" s="26"/>
      <c r="L259" s="26"/>
      <c r="M259" s="28"/>
      <c r="N259" s="26"/>
      <c r="O259" s="26"/>
      <c r="P259" s="28"/>
      <c r="Q259" s="26"/>
      <c r="R259" s="26"/>
      <c r="S259" s="26"/>
      <c r="V259" s="26"/>
      <c r="W259" s="26"/>
      <c r="X259" s="26"/>
      <c r="Y259" s="26"/>
      <c r="Z259" s="26"/>
      <c r="AA259" s="26"/>
      <c r="AB259" s="26"/>
    </row>
    <row r="260" spans="2:28" x14ac:dyDescent="0.25">
      <c r="B260" s="26"/>
      <c r="C260" s="26"/>
      <c r="D260" s="26"/>
      <c r="E260" s="26"/>
      <c r="F260" s="26"/>
      <c r="G260" s="50"/>
      <c r="H260" s="26"/>
      <c r="I260" s="26"/>
      <c r="J260" s="28"/>
      <c r="K260" s="26"/>
      <c r="L260" s="26"/>
      <c r="M260" s="28"/>
      <c r="N260" s="26"/>
      <c r="O260" s="26"/>
      <c r="P260" s="28"/>
      <c r="Q260" s="26"/>
      <c r="R260" s="26"/>
      <c r="S260" s="26"/>
      <c r="V260" s="26"/>
      <c r="W260" s="26"/>
      <c r="X260" s="26"/>
      <c r="Y260" s="26"/>
      <c r="Z260" s="26"/>
      <c r="AA260" s="26"/>
      <c r="AB260" s="26"/>
    </row>
    <row r="261" spans="2:28" x14ac:dyDescent="0.25">
      <c r="B261" s="26"/>
      <c r="C261" s="26"/>
      <c r="D261" s="26"/>
      <c r="E261" s="26"/>
      <c r="F261" s="26"/>
      <c r="G261" s="50"/>
      <c r="H261" s="26"/>
      <c r="I261" s="26"/>
      <c r="J261" s="28"/>
      <c r="K261" s="26"/>
      <c r="L261" s="26"/>
      <c r="M261" s="28"/>
      <c r="N261" s="26"/>
      <c r="O261" s="26"/>
      <c r="P261" s="28"/>
      <c r="Q261" s="26"/>
      <c r="R261" s="26"/>
      <c r="S261" s="26"/>
      <c r="V261" s="26"/>
      <c r="W261" s="26"/>
      <c r="X261" s="26"/>
      <c r="Y261" s="26"/>
      <c r="Z261" s="26"/>
      <c r="AA261" s="26"/>
      <c r="AB261" s="26"/>
    </row>
    <row r="262" spans="2:28" x14ac:dyDescent="0.25">
      <c r="B262" s="26"/>
      <c r="C262" s="26"/>
      <c r="D262" s="26"/>
      <c r="E262" s="26"/>
      <c r="F262" s="26"/>
      <c r="G262" s="50"/>
      <c r="H262" s="26"/>
      <c r="I262" s="26"/>
      <c r="J262" s="28"/>
      <c r="K262" s="26"/>
      <c r="L262" s="26"/>
      <c r="M262" s="28"/>
      <c r="N262" s="26"/>
      <c r="O262" s="26"/>
      <c r="P262" s="28"/>
      <c r="Q262" s="26"/>
      <c r="R262" s="26"/>
      <c r="S262" s="26"/>
      <c r="V262" s="26"/>
      <c r="W262" s="26"/>
      <c r="X262" s="26"/>
      <c r="Y262" s="26"/>
      <c r="Z262" s="26"/>
      <c r="AA262" s="26"/>
      <c r="AB262" s="26"/>
    </row>
    <row r="263" spans="2:28" x14ac:dyDescent="0.25">
      <c r="B263" s="26"/>
      <c r="C263" s="26"/>
      <c r="D263" s="26"/>
      <c r="E263" s="26"/>
      <c r="F263" s="26"/>
      <c r="G263" s="50"/>
      <c r="H263" s="26"/>
      <c r="I263" s="26"/>
      <c r="J263" s="28"/>
      <c r="K263" s="26"/>
      <c r="L263" s="26"/>
      <c r="M263" s="28"/>
      <c r="N263" s="26"/>
      <c r="O263" s="26"/>
      <c r="P263" s="28"/>
      <c r="Q263" s="26"/>
      <c r="R263" s="26"/>
      <c r="S263" s="26"/>
      <c r="V263" s="26"/>
      <c r="W263" s="26"/>
      <c r="X263" s="26"/>
      <c r="Y263" s="26"/>
      <c r="Z263" s="26"/>
      <c r="AA263" s="26"/>
      <c r="AB263" s="26"/>
    </row>
    <row r="264" spans="2:28" x14ac:dyDescent="0.25">
      <c r="B264" s="26"/>
      <c r="C264" s="26"/>
      <c r="D264" s="26"/>
      <c r="E264" s="26"/>
      <c r="F264" s="26"/>
      <c r="G264" s="50"/>
      <c r="H264" s="26"/>
      <c r="I264" s="26"/>
      <c r="J264" s="28"/>
      <c r="K264" s="26"/>
      <c r="L264" s="26"/>
      <c r="M264" s="28"/>
      <c r="N264" s="26"/>
      <c r="O264" s="26"/>
      <c r="P264" s="28"/>
      <c r="Q264" s="26"/>
      <c r="R264" s="26"/>
      <c r="S264" s="26"/>
      <c r="V264" s="26"/>
      <c r="W264" s="26"/>
      <c r="X264" s="26"/>
      <c r="Y264" s="26"/>
      <c r="Z264" s="26"/>
      <c r="AA264" s="26"/>
      <c r="AB264" s="26"/>
    </row>
    <row r="265" spans="2:28" x14ac:dyDescent="0.25">
      <c r="B265" s="26"/>
      <c r="C265" s="26"/>
      <c r="D265" s="26"/>
      <c r="E265" s="26"/>
      <c r="F265" s="26"/>
      <c r="G265" s="50"/>
      <c r="H265" s="26"/>
      <c r="I265" s="26"/>
      <c r="J265" s="28"/>
      <c r="K265" s="26"/>
      <c r="L265" s="26"/>
      <c r="M265" s="28"/>
      <c r="N265" s="26"/>
      <c r="O265" s="26"/>
      <c r="P265" s="28"/>
      <c r="Q265" s="26"/>
      <c r="R265" s="26"/>
      <c r="S265" s="26"/>
      <c r="V265" s="26"/>
      <c r="W265" s="26"/>
      <c r="X265" s="26"/>
      <c r="Y265" s="26"/>
      <c r="Z265" s="26"/>
      <c r="AA265" s="26"/>
      <c r="AB265" s="26"/>
    </row>
    <row r="266" spans="2:28" x14ac:dyDescent="0.25">
      <c r="B266" s="26"/>
      <c r="C266" s="26"/>
      <c r="D266" s="26"/>
      <c r="E266" s="26"/>
      <c r="F266" s="26"/>
      <c r="G266" s="50"/>
      <c r="H266" s="26"/>
      <c r="I266" s="26"/>
      <c r="J266" s="28"/>
      <c r="K266" s="26"/>
      <c r="L266" s="26"/>
      <c r="M266" s="28"/>
      <c r="N266" s="26"/>
      <c r="O266" s="26"/>
      <c r="P266" s="28"/>
      <c r="Q266" s="26"/>
      <c r="R266" s="26"/>
      <c r="S266" s="26"/>
      <c r="V266" s="26"/>
      <c r="W266" s="26"/>
      <c r="X266" s="26"/>
      <c r="Y266" s="26"/>
      <c r="Z266" s="26"/>
      <c r="AA266" s="26"/>
      <c r="AB266" s="26"/>
    </row>
    <row r="267" spans="2:28" x14ac:dyDescent="0.25">
      <c r="B267" s="26"/>
      <c r="C267" s="26"/>
      <c r="D267" s="26"/>
      <c r="E267" s="26"/>
      <c r="F267" s="26"/>
      <c r="G267" s="50"/>
      <c r="H267" s="26"/>
      <c r="I267" s="26"/>
      <c r="J267" s="28"/>
      <c r="K267" s="26"/>
      <c r="L267" s="26"/>
      <c r="M267" s="28"/>
      <c r="N267" s="26"/>
      <c r="O267" s="26"/>
      <c r="P267" s="28"/>
      <c r="Q267" s="26"/>
      <c r="R267" s="26"/>
      <c r="S267" s="26"/>
      <c r="V267" s="26"/>
      <c r="W267" s="26"/>
      <c r="X267" s="26"/>
      <c r="Y267" s="26"/>
      <c r="Z267" s="26"/>
      <c r="AA267" s="26"/>
      <c r="AB267" s="26"/>
    </row>
    <row r="268" spans="2:28" x14ac:dyDescent="0.25">
      <c r="B268" s="26"/>
      <c r="C268" s="26"/>
      <c r="D268" s="26"/>
      <c r="E268" s="26"/>
      <c r="F268" s="26"/>
      <c r="G268" s="50"/>
      <c r="H268" s="26"/>
      <c r="I268" s="26"/>
      <c r="J268" s="28"/>
      <c r="K268" s="26"/>
      <c r="L268" s="26"/>
      <c r="M268" s="28"/>
      <c r="N268" s="26"/>
      <c r="O268" s="26"/>
      <c r="P268" s="28"/>
      <c r="Q268" s="26"/>
      <c r="R268" s="26"/>
      <c r="S268" s="26"/>
      <c r="V268" s="26"/>
      <c r="W268" s="26"/>
      <c r="X268" s="26"/>
      <c r="Y268" s="26"/>
      <c r="Z268" s="26"/>
      <c r="AA268" s="26"/>
      <c r="AB268" s="26"/>
    </row>
    <row r="269" spans="2:28" x14ac:dyDescent="0.25">
      <c r="B269" s="26"/>
      <c r="C269" s="26"/>
      <c r="D269" s="26"/>
      <c r="E269" s="26"/>
      <c r="F269" s="26"/>
      <c r="G269" s="50"/>
      <c r="H269" s="26"/>
      <c r="I269" s="26"/>
      <c r="J269" s="28"/>
      <c r="K269" s="26"/>
      <c r="L269" s="26"/>
      <c r="M269" s="28"/>
      <c r="N269" s="26"/>
      <c r="O269" s="26"/>
      <c r="P269" s="28"/>
      <c r="Q269" s="26"/>
      <c r="R269" s="26"/>
      <c r="S269" s="26"/>
      <c r="V269" s="26"/>
      <c r="W269" s="26"/>
      <c r="X269" s="26"/>
      <c r="Y269" s="26"/>
      <c r="Z269" s="26"/>
      <c r="AA269" s="26"/>
      <c r="AB269" s="26"/>
    </row>
    <row r="270" spans="2:28" x14ac:dyDescent="0.25">
      <c r="B270" s="26"/>
      <c r="C270" s="26"/>
      <c r="D270" s="26"/>
      <c r="E270" s="26"/>
      <c r="F270" s="26"/>
      <c r="G270" s="50"/>
      <c r="H270" s="26"/>
      <c r="I270" s="26"/>
      <c r="J270" s="28"/>
      <c r="K270" s="26"/>
      <c r="L270" s="26"/>
      <c r="M270" s="28"/>
      <c r="N270" s="26"/>
      <c r="O270" s="26"/>
      <c r="P270" s="28"/>
      <c r="Q270" s="26"/>
      <c r="R270" s="26"/>
      <c r="S270" s="26"/>
      <c r="V270" s="26"/>
      <c r="W270" s="26"/>
      <c r="X270" s="26"/>
      <c r="Y270" s="26"/>
      <c r="Z270" s="26"/>
      <c r="AA270" s="26"/>
      <c r="AB270" s="26"/>
    </row>
    <row r="271" spans="2:28" x14ac:dyDescent="0.25">
      <c r="B271" s="26"/>
      <c r="C271" s="26"/>
      <c r="D271" s="26"/>
      <c r="E271" s="26"/>
      <c r="F271" s="26"/>
      <c r="G271" s="50"/>
      <c r="H271" s="26"/>
      <c r="I271" s="26"/>
      <c r="J271" s="28"/>
      <c r="K271" s="26"/>
      <c r="L271" s="26"/>
      <c r="M271" s="28"/>
      <c r="N271" s="26"/>
      <c r="O271" s="26"/>
      <c r="P271" s="28"/>
      <c r="Q271" s="26"/>
      <c r="R271" s="26"/>
      <c r="S271" s="26"/>
      <c r="V271" s="26"/>
      <c r="W271" s="26"/>
      <c r="X271" s="26"/>
      <c r="Y271" s="26"/>
      <c r="Z271" s="26"/>
      <c r="AA271" s="26"/>
      <c r="AB271" s="26"/>
    </row>
    <row r="272" spans="2:28" x14ac:dyDescent="0.25">
      <c r="B272" s="26"/>
      <c r="C272" s="26"/>
      <c r="D272" s="26"/>
      <c r="E272" s="26"/>
      <c r="F272" s="26"/>
      <c r="G272" s="50"/>
      <c r="H272" s="26"/>
      <c r="I272" s="26"/>
      <c r="J272" s="28"/>
      <c r="K272" s="26"/>
      <c r="L272" s="26"/>
      <c r="M272" s="28"/>
      <c r="N272" s="26"/>
      <c r="O272" s="26"/>
      <c r="P272" s="28"/>
      <c r="Q272" s="26"/>
      <c r="R272" s="26"/>
      <c r="S272" s="26"/>
      <c r="V272" s="26"/>
      <c r="W272" s="26"/>
      <c r="X272" s="26"/>
      <c r="Y272" s="26"/>
      <c r="Z272" s="26"/>
      <c r="AA272" s="26"/>
      <c r="AB272" s="26"/>
    </row>
    <row r="273" spans="2:28" x14ac:dyDescent="0.25">
      <c r="B273" s="26"/>
      <c r="C273" s="26"/>
      <c r="D273" s="26"/>
      <c r="E273" s="26"/>
      <c r="F273" s="26"/>
      <c r="G273" s="50"/>
      <c r="H273" s="26"/>
      <c r="I273" s="26"/>
      <c r="J273" s="28"/>
      <c r="K273" s="26"/>
      <c r="L273" s="26"/>
      <c r="M273" s="28"/>
      <c r="N273" s="26"/>
      <c r="O273" s="26"/>
      <c r="P273" s="28"/>
      <c r="Q273" s="26"/>
      <c r="R273" s="26"/>
      <c r="S273" s="26"/>
      <c r="V273" s="26"/>
      <c r="W273" s="26"/>
      <c r="X273" s="26"/>
      <c r="Y273" s="26"/>
      <c r="Z273" s="26"/>
      <c r="AA273" s="26"/>
      <c r="AB273" s="26"/>
    </row>
    <row r="274" spans="2:28" x14ac:dyDescent="0.25">
      <c r="B274" s="26"/>
      <c r="C274" s="26"/>
      <c r="D274" s="26"/>
      <c r="E274" s="26"/>
      <c r="F274" s="26"/>
      <c r="G274" s="50"/>
      <c r="H274" s="26"/>
      <c r="I274" s="26"/>
      <c r="J274" s="28"/>
      <c r="K274" s="26"/>
      <c r="L274" s="26"/>
      <c r="M274" s="28"/>
      <c r="N274" s="26"/>
      <c r="O274" s="26"/>
      <c r="P274" s="28"/>
      <c r="Q274" s="26"/>
      <c r="R274" s="26"/>
      <c r="S274" s="26"/>
      <c r="V274" s="26"/>
      <c r="W274" s="26"/>
      <c r="X274" s="26"/>
      <c r="Y274" s="26"/>
      <c r="Z274" s="26"/>
      <c r="AA274" s="26"/>
      <c r="AB274" s="26"/>
    </row>
    <row r="275" spans="2:28" x14ac:dyDescent="0.25">
      <c r="B275" s="26"/>
      <c r="C275" s="26"/>
      <c r="D275" s="26"/>
      <c r="E275" s="26"/>
      <c r="F275" s="26"/>
      <c r="G275" s="50"/>
      <c r="H275" s="26"/>
      <c r="I275" s="26"/>
      <c r="J275" s="28"/>
      <c r="K275" s="26"/>
      <c r="L275" s="26"/>
      <c r="M275" s="28"/>
      <c r="N275" s="26"/>
      <c r="O275" s="26"/>
      <c r="P275" s="28"/>
      <c r="Q275" s="26"/>
      <c r="R275" s="26"/>
      <c r="S275" s="26"/>
      <c r="V275" s="26"/>
      <c r="W275" s="26"/>
      <c r="X275" s="26"/>
      <c r="Y275" s="26"/>
      <c r="Z275" s="26"/>
      <c r="AA275" s="26"/>
      <c r="AB275" s="26"/>
    </row>
    <row r="276" spans="2:28" x14ac:dyDescent="0.25">
      <c r="B276" s="26"/>
      <c r="C276" s="26"/>
      <c r="D276" s="26"/>
      <c r="E276" s="26"/>
      <c r="F276" s="26"/>
      <c r="G276" s="50"/>
      <c r="H276" s="26"/>
      <c r="I276" s="26"/>
      <c r="J276" s="28"/>
      <c r="K276" s="26"/>
      <c r="L276" s="26"/>
      <c r="M276" s="28"/>
      <c r="N276" s="26"/>
      <c r="O276" s="26"/>
      <c r="P276" s="28"/>
      <c r="Q276" s="26"/>
      <c r="R276" s="26"/>
      <c r="S276" s="26"/>
      <c r="V276" s="26"/>
      <c r="W276" s="26"/>
      <c r="X276" s="26"/>
      <c r="Y276" s="26"/>
      <c r="Z276" s="26"/>
      <c r="AA276" s="26"/>
      <c r="AB276" s="26"/>
    </row>
    <row r="277" spans="2:28" x14ac:dyDescent="0.25">
      <c r="B277" s="26"/>
      <c r="C277" s="26"/>
      <c r="D277" s="26"/>
      <c r="E277" s="26"/>
      <c r="F277" s="26"/>
      <c r="G277" s="50"/>
      <c r="H277" s="26"/>
      <c r="I277" s="26"/>
      <c r="J277" s="28"/>
      <c r="K277" s="26"/>
      <c r="L277" s="26"/>
      <c r="M277" s="28"/>
      <c r="N277" s="26"/>
      <c r="O277" s="26"/>
      <c r="P277" s="28"/>
      <c r="Q277" s="26"/>
      <c r="R277" s="26"/>
      <c r="S277" s="26"/>
      <c r="V277" s="26"/>
      <c r="W277" s="26"/>
      <c r="X277" s="26"/>
      <c r="Y277" s="26"/>
      <c r="Z277" s="26"/>
      <c r="AA277" s="26"/>
      <c r="AB277" s="26"/>
    </row>
    <row r="278" spans="2:28" x14ac:dyDescent="0.25">
      <c r="B278" s="26"/>
      <c r="C278" s="26"/>
      <c r="D278" s="26"/>
      <c r="E278" s="26"/>
      <c r="F278" s="26"/>
      <c r="G278" s="50"/>
      <c r="H278" s="26"/>
      <c r="I278" s="26"/>
      <c r="J278" s="28"/>
      <c r="K278" s="26"/>
      <c r="L278" s="26"/>
      <c r="M278" s="28"/>
      <c r="N278" s="26"/>
      <c r="O278" s="26"/>
      <c r="P278" s="28"/>
      <c r="Q278" s="26"/>
      <c r="R278" s="26"/>
      <c r="S278" s="26"/>
      <c r="V278" s="26"/>
      <c r="W278" s="26"/>
      <c r="X278" s="26"/>
      <c r="Y278" s="26"/>
      <c r="Z278" s="26"/>
      <c r="AA278" s="26"/>
      <c r="AB278" s="26"/>
    </row>
    <row r="279" spans="2:28" x14ac:dyDescent="0.25">
      <c r="B279" s="26"/>
      <c r="C279" s="26"/>
      <c r="D279" s="26"/>
      <c r="E279" s="26"/>
      <c r="F279" s="26"/>
      <c r="G279" s="50"/>
      <c r="H279" s="26"/>
      <c r="I279" s="26"/>
      <c r="J279" s="28"/>
      <c r="K279" s="26"/>
      <c r="L279" s="26"/>
      <c r="M279" s="28"/>
      <c r="N279" s="26"/>
      <c r="O279" s="26"/>
      <c r="P279" s="28"/>
      <c r="Q279" s="26"/>
      <c r="R279" s="26"/>
      <c r="S279" s="26"/>
      <c r="V279" s="26"/>
      <c r="W279" s="26"/>
      <c r="X279" s="26"/>
      <c r="Y279" s="26"/>
      <c r="Z279" s="26"/>
      <c r="AA279" s="26"/>
      <c r="AB279" s="26"/>
    </row>
    <row r="280" spans="2:28" x14ac:dyDescent="0.25">
      <c r="B280" s="26"/>
      <c r="C280" s="26"/>
      <c r="D280" s="26"/>
      <c r="E280" s="26"/>
      <c r="F280" s="26"/>
      <c r="G280" s="50"/>
      <c r="H280" s="26"/>
      <c r="I280" s="26"/>
      <c r="J280" s="28"/>
      <c r="K280" s="26"/>
      <c r="L280" s="26"/>
      <c r="M280" s="28"/>
      <c r="N280" s="26"/>
      <c r="O280" s="26"/>
      <c r="P280" s="28"/>
      <c r="Q280" s="26"/>
      <c r="R280" s="26"/>
      <c r="S280" s="26"/>
      <c r="V280" s="26"/>
      <c r="W280" s="26"/>
      <c r="X280" s="26"/>
      <c r="Y280" s="26"/>
      <c r="Z280" s="26"/>
      <c r="AA280" s="26"/>
      <c r="AB280" s="26"/>
    </row>
    <row r="281" spans="2:28" x14ac:dyDescent="0.25">
      <c r="B281" s="26"/>
      <c r="C281" s="26"/>
      <c r="D281" s="26"/>
      <c r="E281" s="26"/>
      <c r="F281" s="26"/>
      <c r="G281" s="50"/>
      <c r="H281" s="26"/>
      <c r="I281" s="26"/>
      <c r="J281" s="28"/>
      <c r="K281" s="26"/>
      <c r="L281" s="26"/>
      <c r="M281" s="28"/>
      <c r="N281" s="26"/>
      <c r="O281" s="26"/>
      <c r="P281" s="28"/>
      <c r="Q281" s="26"/>
      <c r="R281" s="26"/>
      <c r="S281" s="26"/>
      <c r="V281" s="26"/>
      <c r="W281" s="26"/>
      <c r="X281" s="26"/>
      <c r="Y281" s="26"/>
      <c r="Z281" s="26"/>
      <c r="AA281" s="26"/>
      <c r="AB281" s="26"/>
    </row>
    <row r="282" spans="2:28" x14ac:dyDescent="0.25">
      <c r="B282" s="26"/>
      <c r="C282" s="26"/>
      <c r="D282" s="26"/>
      <c r="E282" s="26"/>
      <c r="F282" s="26"/>
      <c r="G282" s="50"/>
      <c r="H282" s="26"/>
      <c r="I282" s="26"/>
      <c r="J282" s="28"/>
      <c r="K282" s="26"/>
      <c r="L282" s="26"/>
      <c r="M282" s="28"/>
      <c r="N282" s="26"/>
      <c r="O282" s="26"/>
      <c r="P282" s="28"/>
      <c r="Q282" s="26"/>
      <c r="R282" s="26"/>
      <c r="S282" s="26"/>
      <c r="V282" s="26"/>
      <c r="W282" s="26"/>
      <c r="X282" s="26"/>
      <c r="Y282" s="26"/>
      <c r="Z282" s="26"/>
      <c r="AA282" s="26"/>
      <c r="AB282" s="26"/>
    </row>
    <row r="283" spans="2:28" x14ac:dyDescent="0.25">
      <c r="B283" s="26"/>
      <c r="C283" s="26"/>
      <c r="D283" s="26"/>
      <c r="E283" s="26"/>
      <c r="F283" s="26"/>
      <c r="G283" s="50"/>
      <c r="H283" s="26"/>
      <c r="I283" s="26"/>
      <c r="J283" s="28"/>
      <c r="K283" s="26"/>
      <c r="L283" s="26"/>
      <c r="M283" s="28"/>
      <c r="N283" s="26"/>
      <c r="O283" s="26"/>
      <c r="P283" s="28"/>
      <c r="Q283" s="26"/>
      <c r="R283" s="26"/>
      <c r="S283" s="26"/>
      <c r="V283" s="26"/>
      <c r="W283" s="26"/>
      <c r="X283" s="26"/>
      <c r="Y283" s="26"/>
      <c r="Z283" s="26"/>
      <c r="AA283" s="26"/>
      <c r="AB283" s="26"/>
    </row>
    <row r="284" spans="2:28" x14ac:dyDescent="0.25">
      <c r="B284" s="26"/>
      <c r="C284" s="26"/>
      <c r="D284" s="26"/>
      <c r="E284" s="26"/>
      <c r="F284" s="26"/>
      <c r="G284" s="50"/>
      <c r="H284" s="26"/>
      <c r="I284" s="26"/>
      <c r="J284" s="28"/>
      <c r="K284" s="26"/>
      <c r="L284" s="26"/>
      <c r="M284" s="28"/>
      <c r="N284" s="26"/>
      <c r="O284" s="26"/>
      <c r="P284" s="28"/>
      <c r="Q284" s="26"/>
      <c r="R284" s="26"/>
      <c r="S284" s="26"/>
      <c r="V284" s="26"/>
      <c r="W284" s="26"/>
      <c r="X284" s="26"/>
      <c r="Y284" s="26"/>
      <c r="Z284" s="26"/>
      <c r="AA284" s="26"/>
      <c r="AB284" s="26"/>
    </row>
    <row r="285" spans="2:28" x14ac:dyDescent="0.25">
      <c r="B285" s="26"/>
      <c r="C285" s="26"/>
      <c r="D285" s="26"/>
      <c r="E285" s="26"/>
      <c r="F285" s="26"/>
      <c r="G285" s="50"/>
      <c r="H285" s="26"/>
      <c r="I285" s="26"/>
      <c r="J285" s="28"/>
      <c r="K285" s="26"/>
      <c r="L285" s="26"/>
      <c r="M285" s="28"/>
      <c r="N285" s="26"/>
      <c r="O285" s="26"/>
      <c r="P285" s="28"/>
      <c r="Q285" s="26"/>
      <c r="R285" s="26"/>
      <c r="S285" s="26"/>
      <c r="V285" s="26"/>
      <c r="W285" s="26"/>
      <c r="X285" s="26"/>
      <c r="Y285" s="26"/>
      <c r="Z285" s="26"/>
      <c r="AA285" s="26"/>
      <c r="AB285" s="26"/>
    </row>
    <row r="286" spans="2:28" x14ac:dyDescent="0.25">
      <c r="B286" s="26"/>
      <c r="C286" s="26"/>
      <c r="D286" s="26"/>
      <c r="E286" s="26"/>
      <c r="F286" s="26"/>
      <c r="G286" s="50"/>
      <c r="H286" s="26"/>
      <c r="I286" s="26"/>
      <c r="J286" s="28"/>
      <c r="K286" s="26"/>
      <c r="L286" s="26"/>
      <c r="M286" s="28"/>
      <c r="N286" s="26"/>
      <c r="O286" s="26"/>
      <c r="P286" s="28"/>
      <c r="Q286" s="26"/>
      <c r="R286" s="26"/>
      <c r="S286" s="26"/>
      <c r="V286" s="26"/>
      <c r="W286" s="26"/>
      <c r="X286" s="26"/>
      <c r="Y286" s="26"/>
      <c r="Z286" s="26"/>
      <c r="AA286" s="26"/>
      <c r="AB286" s="26"/>
    </row>
    <row r="287" spans="2:28" x14ac:dyDescent="0.25">
      <c r="B287" s="26"/>
      <c r="C287" s="26"/>
      <c r="D287" s="26"/>
      <c r="E287" s="26"/>
      <c r="F287" s="26"/>
      <c r="G287" s="50"/>
      <c r="H287" s="26"/>
      <c r="I287" s="26"/>
      <c r="J287" s="28"/>
      <c r="K287" s="26"/>
      <c r="L287" s="26"/>
      <c r="M287" s="28"/>
      <c r="N287" s="26"/>
      <c r="O287" s="26"/>
      <c r="P287" s="28"/>
      <c r="Q287" s="26"/>
      <c r="R287" s="26"/>
      <c r="S287" s="26"/>
      <c r="V287" s="26"/>
      <c r="W287" s="26"/>
      <c r="X287" s="26"/>
      <c r="Y287" s="26"/>
      <c r="Z287" s="26"/>
      <c r="AA287" s="26"/>
      <c r="AB287" s="26"/>
    </row>
    <row r="288" spans="2:28" x14ac:dyDescent="0.25">
      <c r="B288" s="26"/>
      <c r="C288" s="26"/>
      <c r="D288" s="26"/>
      <c r="E288" s="26"/>
      <c r="F288" s="26"/>
      <c r="G288" s="50"/>
      <c r="H288" s="26"/>
      <c r="I288" s="26"/>
      <c r="J288" s="28"/>
      <c r="K288" s="26"/>
      <c r="L288" s="26"/>
      <c r="M288" s="28"/>
      <c r="N288" s="26"/>
      <c r="O288" s="26"/>
      <c r="P288" s="28"/>
      <c r="Q288" s="26"/>
      <c r="R288" s="26"/>
      <c r="S288" s="26"/>
      <c r="V288" s="26"/>
      <c r="W288" s="26"/>
      <c r="X288" s="26"/>
      <c r="Y288" s="26"/>
      <c r="Z288" s="26"/>
      <c r="AA288" s="26"/>
      <c r="AB288" s="26"/>
    </row>
    <row r="289" spans="2:28" x14ac:dyDescent="0.25">
      <c r="B289" s="26"/>
      <c r="C289" s="26"/>
      <c r="D289" s="26"/>
      <c r="E289" s="26"/>
      <c r="F289" s="26"/>
      <c r="G289" s="50"/>
      <c r="H289" s="26"/>
      <c r="I289" s="26"/>
      <c r="J289" s="28"/>
      <c r="K289" s="26"/>
      <c r="L289" s="26"/>
      <c r="M289" s="28"/>
      <c r="N289" s="26"/>
      <c r="O289" s="26"/>
      <c r="P289" s="28"/>
      <c r="Q289" s="26"/>
      <c r="R289" s="26"/>
      <c r="S289" s="26"/>
      <c r="V289" s="26"/>
      <c r="W289" s="26"/>
      <c r="X289" s="26"/>
      <c r="Y289" s="26"/>
      <c r="Z289" s="26"/>
      <c r="AA289" s="26"/>
      <c r="AB289" s="26"/>
    </row>
    <row r="290" spans="2:28" x14ac:dyDescent="0.25">
      <c r="B290" s="26"/>
      <c r="C290" s="26"/>
      <c r="D290" s="26"/>
      <c r="E290" s="26"/>
      <c r="F290" s="26"/>
      <c r="G290" s="50"/>
      <c r="H290" s="26"/>
      <c r="I290" s="26"/>
      <c r="J290" s="28"/>
      <c r="K290" s="26"/>
      <c r="L290" s="26"/>
      <c r="M290" s="28"/>
      <c r="N290" s="26"/>
      <c r="O290" s="26"/>
      <c r="P290" s="28"/>
      <c r="Q290" s="26"/>
      <c r="R290" s="26"/>
      <c r="S290" s="26"/>
      <c r="V290" s="26"/>
      <c r="W290" s="26"/>
      <c r="X290" s="26"/>
      <c r="Y290" s="26"/>
      <c r="Z290" s="26"/>
      <c r="AA290" s="26"/>
      <c r="AB290" s="26"/>
    </row>
    <row r="291" spans="2:28" x14ac:dyDescent="0.25">
      <c r="B291" s="26"/>
      <c r="C291" s="26"/>
      <c r="D291" s="26"/>
      <c r="E291" s="26"/>
      <c r="F291" s="26"/>
      <c r="G291" s="50"/>
      <c r="H291" s="26"/>
      <c r="I291" s="26"/>
      <c r="J291" s="28"/>
      <c r="K291" s="26"/>
      <c r="L291" s="26"/>
      <c r="M291" s="28"/>
      <c r="N291" s="26"/>
      <c r="O291" s="26"/>
      <c r="P291" s="28"/>
      <c r="Q291" s="26"/>
      <c r="R291" s="26"/>
      <c r="S291" s="26"/>
      <c r="V291" s="26"/>
      <c r="W291" s="26"/>
      <c r="X291" s="26"/>
      <c r="Y291" s="26"/>
      <c r="Z291" s="26"/>
      <c r="AA291" s="26"/>
      <c r="AB291" s="26"/>
    </row>
    <row r="292" spans="2:28" x14ac:dyDescent="0.25">
      <c r="B292" s="26"/>
      <c r="C292" s="26"/>
      <c r="D292" s="26"/>
      <c r="E292" s="26"/>
      <c r="F292" s="26"/>
      <c r="G292" s="50"/>
      <c r="H292" s="26"/>
      <c r="I292" s="26"/>
      <c r="J292" s="28"/>
      <c r="K292" s="26"/>
      <c r="L292" s="26"/>
      <c r="M292" s="28"/>
      <c r="N292" s="26"/>
      <c r="O292" s="26"/>
      <c r="P292" s="28"/>
      <c r="Q292" s="26"/>
      <c r="R292" s="26"/>
      <c r="S292" s="26"/>
      <c r="V292" s="26"/>
      <c r="W292" s="26"/>
      <c r="X292" s="26"/>
      <c r="Y292" s="26"/>
      <c r="Z292" s="26"/>
      <c r="AA292" s="26"/>
      <c r="AB292" s="26"/>
    </row>
    <row r="293" spans="2:28" x14ac:dyDescent="0.25">
      <c r="B293" s="26"/>
      <c r="C293" s="26"/>
      <c r="D293" s="26"/>
      <c r="E293" s="26"/>
      <c r="F293" s="26"/>
      <c r="G293" s="50"/>
      <c r="H293" s="26"/>
      <c r="I293" s="26"/>
      <c r="J293" s="28"/>
      <c r="K293" s="26"/>
      <c r="L293" s="26"/>
      <c r="M293" s="28"/>
      <c r="N293" s="26"/>
      <c r="O293" s="26"/>
      <c r="P293" s="28"/>
      <c r="Q293" s="26"/>
      <c r="R293" s="26"/>
      <c r="S293" s="26"/>
      <c r="V293" s="26"/>
      <c r="W293" s="26"/>
      <c r="X293" s="26"/>
      <c r="Y293" s="26"/>
      <c r="Z293" s="26"/>
      <c r="AA293" s="26"/>
      <c r="AB293" s="26"/>
    </row>
    <row r="294" spans="2:28" x14ac:dyDescent="0.25">
      <c r="B294" s="26"/>
      <c r="C294" s="26"/>
      <c r="D294" s="26"/>
      <c r="E294" s="26"/>
      <c r="F294" s="26"/>
      <c r="G294" s="50"/>
      <c r="H294" s="26"/>
      <c r="I294" s="26"/>
      <c r="J294" s="28"/>
      <c r="K294" s="26"/>
      <c r="L294" s="26"/>
      <c r="M294" s="28"/>
      <c r="N294" s="26"/>
      <c r="O294" s="26"/>
      <c r="P294" s="28"/>
      <c r="Q294" s="26"/>
      <c r="R294" s="26"/>
      <c r="S294" s="26"/>
      <c r="V294" s="26"/>
      <c r="W294" s="26"/>
      <c r="X294" s="26"/>
      <c r="Y294" s="26"/>
      <c r="Z294" s="26"/>
      <c r="AA294" s="26"/>
      <c r="AB294" s="26"/>
    </row>
    <row r="295" spans="2:28" x14ac:dyDescent="0.25">
      <c r="B295" s="26"/>
      <c r="C295" s="26"/>
      <c r="D295" s="26"/>
      <c r="E295" s="26"/>
      <c r="F295" s="26"/>
      <c r="G295" s="50"/>
      <c r="H295" s="26"/>
      <c r="I295" s="26"/>
      <c r="J295" s="28"/>
      <c r="K295" s="26"/>
      <c r="L295" s="26"/>
      <c r="M295" s="28"/>
      <c r="N295" s="26"/>
      <c r="O295" s="26"/>
      <c r="P295" s="28"/>
      <c r="Q295" s="26"/>
      <c r="R295" s="26"/>
      <c r="S295" s="26"/>
      <c r="V295" s="26"/>
      <c r="W295" s="26"/>
      <c r="X295" s="26"/>
      <c r="Y295" s="26"/>
      <c r="Z295" s="26"/>
      <c r="AA295" s="26"/>
      <c r="AB295" s="26"/>
    </row>
    <row r="296" spans="2:28" x14ac:dyDescent="0.25">
      <c r="AB296" s="26"/>
    </row>
  </sheetData>
  <sheetProtection formatCells="0" formatColumns="0" formatRows="0" insertRows="0" deleteRows="0" sort="0" autoFilter="0"/>
  <dataValidations count="2">
    <dataValidation type="list" showInputMessage="1" showErrorMessage="1" sqref="Y8:Y9" xr:uid="{00000000-0002-0000-0100-000000000000}">
      <formula1>"Paid,Created,Sent"</formula1>
    </dataValidation>
    <dataValidation type="list" allowBlank="1" showInputMessage="1" showErrorMessage="1" sqref="Y10:Y57" xr:uid="{00000000-0002-0000-0100-000001000000}">
      <formula1>"Paid,Created,Sent"</formula1>
    </dataValidation>
  </dataValidations>
  <pageMargins left="0.7" right="0.7" top="0.75" bottom="0.75" header="0.3" footer="0.3"/>
  <pageSetup paperSize="9" orientation="portrait" r:id="rId1"/>
  <ignoredErrors>
    <ignoredError sqref="T57:U57 X57 AA57:AB57 AA8:AB56 X8:X56 T8:U56" unlockedFormula="1"/>
  </ignoredErrors>
  <drawing r:id="rId2"/>
  <legacyDrawing r:id="rId3"/>
  <controls>
    <mc:AlternateContent xmlns:mc="http://schemas.openxmlformats.org/markup-compatibility/2006">
      <mc:Choice Requires="x14">
        <control shapeId="7181" r:id="rId4" name="axHide">
          <controlPr defaultSize="0" autoLine="0" r:id="rId5">
            <anchor moveWithCells="1">
              <from>
                <xdr:col>2</xdr:col>
                <xdr:colOff>22860</xdr:colOff>
                <xdr:row>5</xdr:row>
                <xdr:rowOff>182880</xdr:rowOff>
              </from>
              <to>
                <xdr:col>2</xdr:col>
                <xdr:colOff>1379220</xdr:colOff>
                <xdr:row>5</xdr:row>
                <xdr:rowOff>563880</xdr:rowOff>
              </to>
            </anchor>
          </controlPr>
        </control>
      </mc:Choice>
      <mc:Fallback>
        <control shapeId="7181" r:id="rId4" name="axHide"/>
      </mc:Fallback>
    </mc:AlternateContent>
    <mc:AlternateContent xmlns:mc="http://schemas.openxmlformats.org/markup-compatibility/2006">
      <mc:Choice Requires="x14">
        <control shapeId="7180" r:id="rId6" name="axCollapse">
          <controlPr defaultSize="0" autoLine="0" autoPict="0" r:id="rId7">
            <anchor moveWithCells="1">
              <from>
                <xdr:col>1</xdr:col>
                <xdr:colOff>99060</xdr:colOff>
                <xdr:row>5</xdr:row>
                <xdr:rowOff>175260</xdr:rowOff>
              </from>
              <to>
                <xdr:col>1</xdr:col>
                <xdr:colOff>1440180</xdr:colOff>
                <xdr:row>5</xdr:row>
                <xdr:rowOff>556260</xdr:rowOff>
              </to>
            </anchor>
          </controlPr>
        </control>
      </mc:Choice>
      <mc:Fallback>
        <control shapeId="7180" r:id="rId6" name="axCollapse"/>
      </mc:Fallback>
    </mc:AlternateContent>
    <mc:AlternateContent xmlns:mc="http://schemas.openxmlformats.org/markup-compatibility/2006">
      <mc:Choice Requires="x14">
        <control shapeId="7175" r:id="rId8" name="Button 7">
          <controlPr defaultSize="0" autoFill="0" autoPict="0" macro="[0]!create_invoice">
            <anchor moveWithCells="1" sizeWithCells="1">
              <from>
                <xdr:col>1</xdr:col>
                <xdr:colOff>495300</xdr:colOff>
                <xdr:row>0</xdr:row>
                <xdr:rowOff>350520</xdr:rowOff>
              </from>
              <to>
                <xdr:col>2</xdr:col>
                <xdr:colOff>708660</xdr:colOff>
                <xdr:row>2</xdr:row>
                <xdr:rowOff>60960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Master"/>
  <dimension ref="A1:H32"/>
  <sheetViews>
    <sheetView workbookViewId="0">
      <selection activeCell="C20" sqref="C20"/>
    </sheetView>
  </sheetViews>
  <sheetFormatPr defaultColWidth="9" defaultRowHeight="13.8" x14ac:dyDescent="0.25"/>
  <cols>
    <col min="1" max="1" width="19" customWidth="1"/>
    <col min="2" max="2" width="22.3984375" customWidth="1"/>
    <col min="3" max="3" width="22.5" customWidth="1"/>
    <col min="4" max="4" width="19.3984375" customWidth="1"/>
    <col min="5" max="5" width="15.69921875" customWidth="1"/>
    <col min="6" max="6" width="16" customWidth="1"/>
    <col min="7" max="7" width="9" style="70"/>
    <col min="8" max="8" width="33.8984375" customWidth="1"/>
  </cols>
  <sheetData>
    <row r="1" spans="1:8" x14ac:dyDescent="0.25">
      <c r="A1" s="3" t="s">
        <v>0</v>
      </c>
      <c r="B1" s="3" t="s">
        <v>2</v>
      </c>
      <c r="C1" s="3" t="s">
        <v>6</v>
      </c>
      <c r="D1" s="3" t="s">
        <v>7</v>
      </c>
      <c r="E1" s="3" t="s">
        <v>8</v>
      </c>
      <c r="F1" s="3" t="s">
        <v>3</v>
      </c>
      <c r="G1" s="68" t="s">
        <v>98</v>
      </c>
      <c r="H1" s="3" t="s">
        <v>155</v>
      </c>
    </row>
    <row r="2" spans="1:8" x14ac:dyDescent="0.25">
      <c r="A2" t="s">
        <v>156</v>
      </c>
      <c r="B2" t="s">
        <v>87</v>
      </c>
      <c r="C2" t="s">
        <v>22</v>
      </c>
      <c r="D2" t="s">
        <v>23</v>
      </c>
      <c r="E2" t="s">
        <v>24</v>
      </c>
      <c r="G2" s="69"/>
      <c r="H2" t="s">
        <v>157</v>
      </c>
    </row>
    <row r="3" spans="1:8" x14ac:dyDescent="0.25">
      <c r="A3" t="s">
        <v>44</v>
      </c>
      <c r="B3" t="s">
        <v>10</v>
      </c>
      <c r="C3" t="s">
        <v>25</v>
      </c>
      <c r="D3" t="s">
        <v>26</v>
      </c>
      <c r="E3" t="s">
        <v>27</v>
      </c>
      <c r="F3" t="s">
        <v>209</v>
      </c>
      <c r="G3" s="69"/>
      <c r="H3" t="s">
        <v>158</v>
      </c>
    </row>
    <row r="4" spans="1:8" x14ac:dyDescent="0.25">
      <c r="A4" t="s">
        <v>45</v>
      </c>
      <c r="B4" t="s">
        <v>11</v>
      </c>
      <c r="C4" t="s">
        <v>28</v>
      </c>
      <c r="D4" t="s">
        <v>30</v>
      </c>
      <c r="E4" t="s">
        <v>29</v>
      </c>
      <c r="G4" s="69"/>
      <c r="H4" t="s">
        <v>159</v>
      </c>
    </row>
    <row r="5" spans="1:8" x14ac:dyDescent="0.25">
      <c r="A5" t="s">
        <v>122</v>
      </c>
      <c r="B5" t="s">
        <v>12</v>
      </c>
      <c r="C5" t="s">
        <v>31</v>
      </c>
      <c r="D5" t="s">
        <v>33</v>
      </c>
      <c r="E5" t="s">
        <v>32</v>
      </c>
      <c r="G5" s="69"/>
      <c r="H5" t="s">
        <v>160</v>
      </c>
    </row>
    <row r="6" spans="1:8" x14ac:dyDescent="0.25">
      <c r="A6" t="s">
        <v>46</v>
      </c>
      <c r="B6" t="s">
        <v>13</v>
      </c>
      <c r="C6" t="s">
        <v>34</v>
      </c>
      <c r="D6" t="s">
        <v>33</v>
      </c>
      <c r="E6" t="s">
        <v>32</v>
      </c>
      <c r="F6" t="s">
        <v>209</v>
      </c>
      <c r="G6" s="69"/>
      <c r="H6" t="s">
        <v>161</v>
      </c>
    </row>
    <row r="7" spans="1:8" x14ac:dyDescent="0.25">
      <c r="A7" t="s">
        <v>125</v>
      </c>
      <c r="B7" t="s">
        <v>14</v>
      </c>
      <c r="C7" t="s">
        <v>35</v>
      </c>
      <c r="D7" t="s">
        <v>33</v>
      </c>
      <c r="E7" t="s">
        <v>32</v>
      </c>
      <c r="G7" s="69"/>
      <c r="H7" t="s">
        <v>162</v>
      </c>
    </row>
    <row r="8" spans="1:8" x14ac:dyDescent="0.25">
      <c r="A8" t="s">
        <v>121</v>
      </c>
      <c r="B8" t="s">
        <v>15</v>
      </c>
      <c r="C8" t="s">
        <v>36</v>
      </c>
      <c r="D8" t="s">
        <v>37</v>
      </c>
      <c r="E8" t="s">
        <v>38</v>
      </c>
      <c r="G8" s="69"/>
      <c r="H8" t="s">
        <v>163</v>
      </c>
    </row>
    <row r="9" spans="1:8" x14ac:dyDescent="0.25">
      <c r="A9" t="s">
        <v>47</v>
      </c>
      <c r="B9" t="s">
        <v>85</v>
      </c>
      <c r="C9" t="s">
        <v>39</v>
      </c>
      <c r="D9" t="s">
        <v>41</v>
      </c>
      <c r="E9" t="s">
        <v>40</v>
      </c>
      <c r="G9" s="69"/>
      <c r="H9" t="s">
        <v>164</v>
      </c>
    </row>
    <row r="10" spans="1:8" x14ac:dyDescent="0.25">
      <c r="A10" t="s">
        <v>48</v>
      </c>
      <c r="B10" t="s">
        <v>86</v>
      </c>
      <c r="C10" t="s">
        <v>39</v>
      </c>
      <c r="D10" t="s">
        <v>41</v>
      </c>
      <c r="E10" t="s">
        <v>40</v>
      </c>
      <c r="G10" s="69"/>
      <c r="H10" t="s">
        <v>165</v>
      </c>
    </row>
    <row r="11" spans="1:8" x14ac:dyDescent="0.25">
      <c r="A11" t="s">
        <v>49</v>
      </c>
      <c r="B11" t="s">
        <v>18</v>
      </c>
      <c r="C11" t="s">
        <v>78</v>
      </c>
      <c r="D11" t="s">
        <v>43</v>
      </c>
      <c r="E11" t="s">
        <v>42</v>
      </c>
      <c r="F11" t="s">
        <v>209</v>
      </c>
      <c r="G11" s="69"/>
      <c r="H11" t="s">
        <v>166</v>
      </c>
    </row>
    <row r="12" spans="1:8" x14ac:dyDescent="0.25">
      <c r="A12" t="s">
        <v>50</v>
      </c>
      <c r="B12" t="s">
        <v>185</v>
      </c>
      <c r="C12" t="s">
        <v>96</v>
      </c>
      <c r="D12" t="s">
        <v>97</v>
      </c>
      <c r="E12" t="s">
        <v>99</v>
      </c>
      <c r="F12" t="s">
        <v>117</v>
      </c>
      <c r="G12" s="69"/>
      <c r="H12" t="s">
        <v>251</v>
      </c>
    </row>
    <row r="13" spans="1:8" x14ac:dyDescent="0.25">
      <c r="A13" t="s">
        <v>51</v>
      </c>
      <c r="B13" t="s">
        <v>16</v>
      </c>
      <c r="C13" t="s">
        <v>102</v>
      </c>
      <c r="D13" t="s">
        <v>103</v>
      </c>
      <c r="E13" t="s">
        <v>100</v>
      </c>
      <c r="F13" t="s">
        <v>209</v>
      </c>
      <c r="G13" s="69"/>
      <c r="H13" t="s">
        <v>167</v>
      </c>
    </row>
    <row r="14" spans="1:8" x14ac:dyDescent="0.25">
      <c r="A14" t="s">
        <v>186</v>
      </c>
      <c r="B14" t="s">
        <v>187</v>
      </c>
      <c r="C14" t="s">
        <v>188</v>
      </c>
      <c r="D14" t="s">
        <v>189</v>
      </c>
      <c r="E14" t="s">
        <v>57</v>
      </c>
      <c r="F14" t="s">
        <v>190</v>
      </c>
      <c r="G14" s="69">
        <v>0.2</v>
      </c>
      <c r="H14" t="s">
        <v>290</v>
      </c>
    </row>
    <row r="15" spans="1:8" x14ac:dyDescent="0.25">
      <c r="A15" t="s">
        <v>52</v>
      </c>
      <c r="B15" t="s">
        <v>191</v>
      </c>
      <c r="C15" t="s">
        <v>101</v>
      </c>
      <c r="D15" t="s">
        <v>192</v>
      </c>
      <c r="E15" t="s">
        <v>57</v>
      </c>
      <c r="F15" t="s">
        <v>113</v>
      </c>
      <c r="G15" s="69">
        <v>0.2</v>
      </c>
      <c r="H15" t="s">
        <v>168</v>
      </c>
    </row>
    <row r="16" spans="1:8" x14ac:dyDescent="0.25">
      <c r="A16" t="s">
        <v>193</v>
      </c>
      <c r="B16" t="s">
        <v>194</v>
      </c>
      <c r="C16" t="s">
        <v>195</v>
      </c>
      <c r="D16" t="s">
        <v>196</v>
      </c>
      <c r="E16" t="s">
        <v>100</v>
      </c>
      <c r="G16" s="69"/>
      <c r="H16" t="s">
        <v>291</v>
      </c>
    </row>
    <row r="17" spans="1:8" x14ac:dyDescent="0.25">
      <c r="A17" t="s">
        <v>197</v>
      </c>
      <c r="B17" t="s">
        <v>198</v>
      </c>
      <c r="C17" t="s">
        <v>199</v>
      </c>
      <c r="D17" t="s">
        <v>200</v>
      </c>
      <c r="E17" t="s">
        <v>100</v>
      </c>
      <c r="G17" s="69"/>
      <c r="H17" t="s">
        <v>292</v>
      </c>
    </row>
    <row r="18" spans="1:8" x14ac:dyDescent="0.25">
      <c r="A18" t="s">
        <v>53</v>
      </c>
      <c r="B18" t="s">
        <v>17</v>
      </c>
      <c r="C18" t="s">
        <v>55</v>
      </c>
      <c r="D18" t="s">
        <v>56</v>
      </c>
      <c r="E18" t="s">
        <v>57</v>
      </c>
      <c r="F18" t="s">
        <v>114</v>
      </c>
      <c r="G18" s="69">
        <v>0.2</v>
      </c>
      <c r="H18" t="s">
        <v>169</v>
      </c>
    </row>
    <row r="19" spans="1:8" x14ac:dyDescent="0.25">
      <c r="A19" t="s">
        <v>93</v>
      </c>
      <c r="B19" t="s">
        <v>201</v>
      </c>
      <c r="C19" t="s">
        <v>94</v>
      </c>
      <c r="D19" t="s">
        <v>95</v>
      </c>
      <c r="E19" t="s">
        <v>99</v>
      </c>
      <c r="F19" t="s">
        <v>118</v>
      </c>
      <c r="G19" s="69">
        <v>0.2</v>
      </c>
      <c r="H19" t="s">
        <v>170</v>
      </c>
    </row>
    <row r="20" spans="1:8" x14ac:dyDescent="0.25">
      <c r="A20" t="s">
        <v>67</v>
      </c>
      <c r="B20" t="s">
        <v>83</v>
      </c>
      <c r="C20" t="s">
        <v>60</v>
      </c>
      <c r="D20" t="s">
        <v>61</v>
      </c>
      <c r="E20" t="s">
        <v>57</v>
      </c>
      <c r="F20" t="s">
        <v>115</v>
      </c>
      <c r="G20" s="69">
        <v>0.2</v>
      </c>
      <c r="H20" t="s">
        <v>171</v>
      </c>
    </row>
    <row r="21" spans="1:8" x14ac:dyDescent="0.25">
      <c r="A21" t="s">
        <v>124</v>
      </c>
      <c r="B21" t="s">
        <v>18</v>
      </c>
      <c r="C21" t="s">
        <v>91</v>
      </c>
      <c r="D21" t="s">
        <v>92</v>
      </c>
      <c r="E21" t="s">
        <v>99</v>
      </c>
      <c r="F21" t="s">
        <v>120</v>
      </c>
      <c r="G21" s="69">
        <v>0.2</v>
      </c>
      <c r="H21" t="s">
        <v>172</v>
      </c>
    </row>
    <row r="22" spans="1:8" x14ac:dyDescent="0.25">
      <c r="A22" t="s">
        <v>54</v>
      </c>
      <c r="B22" s="5" t="s">
        <v>19</v>
      </c>
      <c r="C22" t="s">
        <v>58</v>
      </c>
      <c r="D22" t="s">
        <v>59</v>
      </c>
      <c r="E22" t="s">
        <v>57</v>
      </c>
      <c r="F22" t="s">
        <v>116</v>
      </c>
      <c r="G22" s="69">
        <v>0.2</v>
      </c>
      <c r="H22" t="s">
        <v>173</v>
      </c>
    </row>
    <row r="23" spans="1:8" x14ac:dyDescent="0.25">
      <c r="A23" t="s">
        <v>68</v>
      </c>
      <c r="B23" t="s">
        <v>84</v>
      </c>
      <c r="C23" t="s">
        <v>69</v>
      </c>
      <c r="D23" t="s">
        <v>71</v>
      </c>
      <c r="E23" t="s">
        <v>70</v>
      </c>
      <c r="F23" t="s">
        <v>104</v>
      </c>
      <c r="G23" s="69">
        <v>0.19</v>
      </c>
      <c r="H23" t="s">
        <v>174</v>
      </c>
    </row>
    <row r="24" spans="1:8" x14ac:dyDescent="0.25">
      <c r="A24" t="s">
        <v>77</v>
      </c>
      <c r="B24" t="s">
        <v>202</v>
      </c>
      <c r="C24" t="s">
        <v>69</v>
      </c>
      <c r="D24" t="s">
        <v>71</v>
      </c>
      <c r="E24" t="s">
        <v>70</v>
      </c>
      <c r="F24" t="s">
        <v>105</v>
      </c>
      <c r="G24" s="70">
        <v>0.19</v>
      </c>
      <c r="H24" t="s">
        <v>175</v>
      </c>
    </row>
    <row r="25" spans="1:8" x14ac:dyDescent="0.25">
      <c r="A25" t="s">
        <v>72</v>
      </c>
      <c r="B25" t="s">
        <v>20</v>
      </c>
      <c r="C25" t="s">
        <v>73</v>
      </c>
      <c r="D25" t="s">
        <v>74</v>
      </c>
      <c r="E25" t="s">
        <v>70</v>
      </c>
      <c r="F25" t="s">
        <v>106</v>
      </c>
      <c r="G25" s="70">
        <v>0.19</v>
      </c>
      <c r="H25" t="s">
        <v>176</v>
      </c>
    </row>
    <row r="26" spans="1:8" x14ac:dyDescent="0.25">
      <c r="A26" t="s">
        <v>76</v>
      </c>
      <c r="B26" t="s">
        <v>21</v>
      </c>
      <c r="C26" t="s">
        <v>75</v>
      </c>
      <c r="D26" t="s">
        <v>74</v>
      </c>
      <c r="E26" t="s">
        <v>70</v>
      </c>
      <c r="F26" t="s">
        <v>107</v>
      </c>
      <c r="G26" s="70">
        <v>0.19</v>
      </c>
      <c r="H26" t="s">
        <v>177</v>
      </c>
    </row>
    <row r="27" spans="1:8" x14ac:dyDescent="0.25">
      <c r="A27" t="s">
        <v>123</v>
      </c>
      <c r="B27" t="s">
        <v>88</v>
      </c>
      <c r="C27" t="s">
        <v>89</v>
      </c>
      <c r="D27" t="s">
        <v>90</v>
      </c>
      <c r="E27" t="s">
        <v>99</v>
      </c>
      <c r="F27" t="s">
        <v>119</v>
      </c>
      <c r="G27" s="70">
        <v>0.19</v>
      </c>
      <c r="H27" t="s">
        <v>178</v>
      </c>
    </row>
    <row r="28" spans="1:8" x14ac:dyDescent="0.25">
      <c r="A28" t="s">
        <v>62</v>
      </c>
      <c r="B28" t="s">
        <v>79</v>
      </c>
      <c r="C28" t="s">
        <v>60</v>
      </c>
      <c r="D28" t="s">
        <v>61</v>
      </c>
      <c r="E28" t="s">
        <v>57</v>
      </c>
      <c r="F28" t="s">
        <v>110</v>
      </c>
      <c r="G28" s="70">
        <v>0.2</v>
      </c>
      <c r="H28" t="s">
        <v>179</v>
      </c>
    </row>
    <row r="29" spans="1:8" x14ac:dyDescent="0.25">
      <c r="A29" t="s">
        <v>63</v>
      </c>
      <c r="B29" t="s">
        <v>80</v>
      </c>
      <c r="C29" t="s">
        <v>60</v>
      </c>
      <c r="D29" t="s">
        <v>61</v>
      </c>
      <c r="E29" t="s">
        <v>57</v>
      </c>
      <c r="F29" t="s">
        <v>111</v>
      </c>
      <c r="G29" s="70">
        <v>0.2</v>
      </c>
      <c r="H29" t="s">
        <v>180</v>
      </c>
    </row>
    <row r="30" spans="1:8" x14ac:dyDescent="0.25">
      <c r="A30" t="s">
        <v>64</v>
      </c>
      <c r="B30" t="s">
        <v>81</v>
      </c>
      <c r="C30" t="s">
        <v>60</v>
      </c>
      <c r="D30" t="s">
        <v>61</v>
      </c>
      <c r="E30" t="s">
        <v>57</v>
      </c>
      <c r="F30" t="s">
        <v>112</v>
      </c>
      <c r="G30" s="70">
        <v>0.2</v>
      </c>
      <c r="H30" t="s">
        <v>181</v>
      </c>
    </row>
    <row r="31" spans="1:8" x14ac:dyDescent="0.25">
      <c r="A31" t="s">
        <v>65</v>
      </c>
      <c r="B31" t="s">
        <v>82</v>
      </c>
      <c r="C31" t="s">
        <v>60</v>
      </c>
      <c r="D31" t="s">
        <v>61</v>
      </c>
      <c r="E31" t="s">
        <v>57</v>
      </c>
      <c r="F31" t="s">
        <v>108</v>
      </c>
      <c r="G31" s="70">
        <v>0.2</v>
      </c>
      <c r="H31" t="s">
        <v>182</v>
      </c>
    </row>
    <row r="32" spans="1:8" x14ac:dyDescent="0.25">
      <c r="A32" t="s">
        <v>66</v>
      </c>
      <c r="B32" t="s">
        <v>17</v>
      </c>
      <c r="C32" t="s">
        <v>55</v>
      </c>
      <c r="D32" t="s">
        <v>56</v>
      </c>
      <c r="E32" t="s">
        <v>57</v>
      </c>
      <c r="F32" t="s">
        <v>109</v>
      </c>
      <c r="G32" s="70">
        <v>0.2</v>
      </c>
      <c r="H32" t="s">
        <v>183</v>
      </c>
    </row>
  </sheetData>
  <hyperlinks>
    <hyperlink ref="H14" r:id="rId1" xr:uid="{00000000-0004-0000-0300-000000000000}"/>
    <hyperlink ref="H13" r:id="rId2" xr:uid="{00000000-0004-0000-0300-000001000000}"/>
    <hyperlink ref="H16" r:id="rId3" xr:uid="{00000000-0004-0000-0300-000002000000}"/>
    <hyperlink ref="H17" r:id="rId4" xr:uid="{00000000-0004-0000-0300-000003000000}"/>
  </hyperlinks>
  <pageMargins left="0.7" right="0.7" top="0.75" bottom="0.75" header="0.3" footer="0.3"/>
  <pageSetup paperSize="9" orientation="portrait" horizontalDpi="4294967295" verticalDpi="4294967295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Temp"/>
  <dimension ref="B1:H34"/>
  <sheetViews>
    <sheetView showGridLines="0" zoomScaleNormal="100" workbookViewId="0">
      <selection activeCell="D26" sqref="D26"/>
    </sheetView>
  </sheetViews>
  <sheetFormatPr defaultRowHeight="13.8" x14ac:dyDescent="0.25"/>
  <cols>
    <col min="1" max="1" width="1.5" customWidth="1"/>
    <col min="2" max="2" width="37.3984375" customWidth="1"/>
    <col min="3" max="3" width="20" customWidth="1"/>
    <col min="4" max="4" width="12.5" customWidth="1"/>
    <col min="5" max="5" width="7.09765625" customWidth="1"/>
  </cols>
  <sheetData>
    <row r="1" spans="2:8" ht="13.5" customHeight="1" x14ac:dyDescent="0.25"/>
    <row r="2" spans="2:8" x14ac:dyDescent="0.25">
      <c r="B2" t="s">
        <v>296</v>
      </c>
    </row>
    <row r="3" spans="2:8" x14ac:dyDescent="0.25">
      <c r="B3" t="s">
        <v>297</v>
      </c>
    </row>
    <row r="4" spans="2:8" x14ac:dyDescent="0.25">
      <c r="B4" t="s">
        <v>298</v>
      </c>
    </row>
    <row r="5" spans="2:8" x14ac:dyDescent="0.25">
      <c r="B5" t="s">
        <v>299</v>
      </c>
    </row>
    <row r="7" spans="2:8" x14ac:dyDescent="0.25">
      <c r="C7" s="18" t="s">
        <v>208</v>
      </c>
      <c r="D7" s="18">
        <v>15088</v>
      </c>
    </row>
    <row r="8" spans="2:8" x14ac:dyDescent="0.25">
      <c r="C8" s="18" t="s">
        <v>9</v>
      </c>
      <c r="D8" s="19">
        <v>44857</v>
      </c>
    </row>
    <row r="9" spans="2:8" x14ac:dyDescent="0.25">
      <c r="C9" s="18" t="s">
        <v>126</v>
      </c>
      <c r="D9" s="18" t="s">
        <v>136</v>
      </c>
    </row>
    <row r="12" spans="2:8" x14ac:dyDescent="0.25">
      <c r="B12" t="s">
        <v>82</v>
      </c>
    </row>
    <row r="13" spans="2:8" x14ac:dyDescent="0.25">
      <c r="B13" t="s">
        <v>65</v>
      </c>
      <c r="H13" s="73"/>
    </row>
    <row r="15" spans="2:8" x14ac:dyDescent="0.25">
      <c r="B15" t="s">
        <v>60</v>
      </c>
    </row>
    <row r="16" spans="2:8" x14ac:dyDescent="0.25">
      <c r="B16" t="s">
        <v>61</v>
      </c>
    </row>
    <row r="17" spans="2:5" x14ac:dyDescent="0.25">
      <c r="B17" t="s">
        <v>57</v>
      </c>
    </row>
    <row r="20" spans="2:5" ht="33.75" customHeight="1" x14ac:dyDescent="0.25">
      <c r="B20" s="23" t="s">
        <v>127</v>
      </c>
      <c r="C20" s="23" t="s">
        <v>128</v>
      </c>
      <c r="D20" s="23" t="s">
        <v>129</v>
      </c>
      <c r="E20" s="23" t="s">
        <v>135</v>
      </c>
    </row>
    <row r="21" spans="2:5" x14ac:dyDescent="0.25">
      <c r="B21" s="20" t="s">
        <v>250</v>
      </c>
      <c r="C21" s="25">
        <v>44768</v>
      </c>
      <c r="D21" s="22">
        <v>4794</v>
      </c>
      <c r="E21" s="77">
        <v>0.2</v>
      </c>
    </row>
    <row r="22" spans="2:5" x14ac:dyDescent="0.25">
      <c r="B22" s="20" t="s">
        <v>311</v>
      </c>
      <c r="C22" s="25">
        <v>44799</v>
      </c>
      <c r="D22" s="22">
        <v>4300</v>
      </c>
      <c r="E22" s="77">
        <f>IF(D22="",0,$E$21)</f>
        <v>0.2</v>
      </c>
    </row>
    <row r="23" spans="2:5" x14ac:dyDescent="0.25">
      <c r="B23" s="20" t="s">
        <v>249</v>
      </c>
      <c r="C23" s="25">
        <v>44830</v>
      </c>
      <c r="D23" s="22">
        <v>4500</v>
      </c>
      <c r="E23" s="77">
        <f>IF(D23="",0,$E$21)</f>
        <v>0.2</v>
      </c>
    </row>
    <row r="24" spans="2:5" x14ac:dyDescent="0.25">
      <c r="B24" s="20"/>
      <c r="C24" s="21"/>
      <c r="D24" s="22"/>
      <c r="E24" s="77">
        <f>IF(D24="",0,$E$21)</f>
        <v>0</v>
      </c>
    </row>
    <row r="25" spans="2:5" ht="21.75" customHeight="1" x14ac:dyDescent="0.25">
      <c r="C25" s="1" t="s">
        <v>130</v>
      </c>
      <c r="D25" s="4">
        <f>SUM(D21:D24)</f>
        <v>13594</v>
      </c>
    </row>
    <row r="26" spans="2:5" ht="21.75" customHeight="1" x14ac:dyDescent="0.25">
      <c r="C26" s="1" t="s">
        <v>98</v>
      </c>
      <c r="D26" s="4">
        <f>SUMPRODUCT(D21:D24*E21:E24)</f>
        <v>2718.8</v>
      </c>
    </row>
    <row r="27" spans="2:5" ht="21.75" customHeight="1" x14ac:dyDescent="0.3">
      <c r="C27" s="2" t="s">
        <v>131</v>
      </c>
      <c r="D27" s="4">
        <f>D25+D26</f>
        <v>16312.8</v>
      </c>
    </row>
    <row r="28" spans="2:5" ht="34.5" customHeight="1" x14ac:dyDescent="0.25"/>
    <row r="29" spans="2:5" ht="42.75" customHeight="1" x14ac:dyDescent="0.25"/>
    <row r="30" spans="2:5" ht="55.5" customHeight="1" x14ac:dyDescent="0.25"/>
    <row r="31" spans="2:5" x14ac:dyDescent="0.25">
      <c r="B31" t="s">
        <v>132</v>
      </c>
    </row>
    <row r="32" spans="2:5" x14ac:dyDescent="0.25">
      <c r="B32" t="s">
        <v>293</v>
      </c>
    </row>
    <row r="33" spans="2:2" x14ac:dyDescent="0.25">
      <c r="B33" t="s">
        <v>133</v>
      </c>
    </row>
    <row r="34" spans="2:2" x14ac:dyDescent="0.25">
      <c r="B34" t="s">
        <v>134</v>
      </c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Calc"/>
  <dimension ref="A1:K29"/>
  <sheetViews>
    <sheetView showGridLines="0" topLeftCell="A4" workbookViewId="0">
      <selection activeCell="D29" sqref="D29"/>
    </sheetView>
  </sheetViews>
  <sheetFormatPr defaultRowHeight="13.8" x14ac:dyDescent="0.25"/>
  <cols>
    <col min="2" max="2" width="13.3984375" customWidth="1"/>
    <col min="3" max="3" width="9.8984375" bestFit="1" customWidth="1"/>
    <col min="4" max="4" width="11.19921875" bestFit="1" customWidth="1"/>
    <col min="5" max="5" width="13" customWidth="1"/>
  </cols>
  <sheetData>
    <row r="1" spans="1:11" x14ac:dyDescent="0.25">
      <c r="A1" s="14" t="s">
        <v>206</v>
      </c>
      <c r="B1" s="14"/>
      <c r="C1" s="14"/>
      <c r="D1" s="14"/>
      <c r="E1" s="14"/>
      <c r="F1" s="14"/>
      <c r="G1" s="14"/>
      <c r="H1" s="14"/>
      <c r="I1" s="14"/>
      <c r="J1" s="14"/>
    </row>
    <row r="3" spans="1:11" x14ac:dyDescent="0.25">
      <c r="A3" t="s">
        <v>207</v>
      </c>
      <c r="D3" t="s">
        <v>253</v>
      </c>
      <c r="E3" s="15">
        <f>Dashboard!C1</f>
        <v>44857</v>
      </c>
      <c r="K3" t="s">
        <v>252</v>
      </c>
    </row>
    <row r="5" spans="1:11" x14ac:dyDescent="0.25">
      <c r="B5" s="16" t="s">
        <v>9</v>
      </c>
      <c r="C5" t="s">
        <v>380</v>
      </c>
    </row>
    <row r="6" spans="1:11" x14ac:dyDescent="0.25">
      <c r="B6" s="84">
        <v>44197</v>
      </c>
      <c r="C6" s="17">
        <f>IF(B6&gt;$E$3,"",SUMIFS(InvoiceTable[Net Amount],InvoiceTable[Invoice Date],"&gt;="&amp;DATE(YEAR(B6),MONTH(B6),1),InvoiceTable[Invoice Date],"&lt;"&amp;DATE(YEAR(B6),MONTH(B6)+1,1),InvoiceTable[Status],"paid"))</f>
        <v>0</v>
      </c>
    </row>
    <row r="7" spans="1:11" x14ac:dyDescent="0.25">
      <c r="B7" s="84">
        <v>44228</v>
      </c>
      <c r="C7" s="17">
        <f>IF(B7&gt;$E$3,"",SUMIFS(InvoiceTable[Net Amount],InvoiceTable[Invoice Date],"&gt;="&amp;DATE(YEAR(B7),MONTH(B7),1),InvoiceTable[Invoice Date],"&lt;"&amp;DATE(YEAR(B7),MONTH(B7)+1,1),InvoiceTable[Status],"paid"))</f>
        <v>0</v>
      </c>
    </row>
    <row r="8" spans="1:11" x14ac:dyDescent="0.25">
      <c r="B8" s="84">
        <v>44256</v>
      </c>
      <c r="C8" s="17">
        <f>IF(B8&gt;$E$3,"",SUMIFS(InvoiceTable[Net Amount],InvoiceTable[Invoice Date],"&gt;="&amp;DATE(YEAR(B8),MONTH(B8),1),InvoiceTable[Invoice Date],"&lt;"&amp;DATE(YEAR(B8),MONTH(B8)+1,1),InvoiceTable[Status],"paid"))</f>
        <v>57233.05</v>
      </c>
    </row>
    <row r="9" spans="1:11" x14ac:dyDescent="0.25">
      <c r="B9" s="84">
        <v>44287</v>
      </c>
      <c r="C9" s="17">
        <f>IF(B9&gt;$E$3,"",SUMIFS(InvoiceTable[Net Amount],InvoiceTable[Invoice Date],"&gt;="&amp;DATE(YEAR(B9),MONTH(B9),1),InvoiceTable[Invoice Date],"&lt;"&amp;DATE(YEAR(B9),MONTH(B9)+1,1),InvoiceTable[Status],"paid"))</f>
        <v>19697.277707547168</v>
      </c>
    </row>
    <row r="10" spans="1:11" x14ac:dyDescent="0.25">
      <c r="B10" s="84">
        <v>44317</v>
      </c>
      <c r="C10" s="17">
        <f>IF(B10&gt;$E$3,"",SUMIFS(InvoiceTable[Net Amount],InvoiceTable[Invoice Date],"&gt;="&amp;DATE(YEAR(B10),MONTH(B10),1),InvoiceTable[Invoice Date],"&lt;"&amp;DATE(YEAR(B10),MONTH(B10)+1,1),InvoiceTable[Status],"paid"))</f>
        <v>3360</v>
      </c>
    </row>
    <row r="11" spans="1:11" x14ac:dyDescent="0.25">
      <c r="B11" s="84">
        <v>44348</v>
      </c>
      <c r="C11" s="17">
        <f>IF(B11&gt;$E$3,"",SUMIFS(InvoiceTable[Net Amount],InvoiceTable[Invoice Date],"&gt;="&amp;DATE(YEAR(B11),MONTH(B11),1),InvoiceTable[Invoice Date],"&lt;"&amp;DATE(YEAR(B11),MONTH(B11)+1,1),InvoiceTable[Status],"paid"))</f>
        <v>7000</v>
      </c>
    </row>
    <row r="12" spans="1:11" x14ac:dyDescent="0.25">
      <c r="B12" s="84">
        <v>44378</v>
      </c>
      <c r="C12" s="17">
        <f>IF(B12&gt;$E$3,"",SUMIFS(InvoiceTable[Net Amount],InvoiceTable[Invoice Date],"&gt;="&amp;DATE(YEAR(B12),MONTH(B12),1),InvoiceTable[Invoice Date],"&lt;"&amp;DATE(YEAR(B12),MONTH(B12)+1,1),InvoiceTable[Status],"paid"))</f>
        <v>0</v>
      </c>
    </row>
    <row r="13" spans="1:11" x14ac:dyDescent="0.25">
      <c r="B13" s="84">
        <v>44409</v>
      </c>
      <c r="C13" s="17">
        <f>IF(B13&gt;$E$3,"",SUMIFS(InvoiceTable[Net Amount],InvoiceTable[Invoice Date],"&gt;="&amp;DATE(YEAR(B13),MONTH(B13),1),InvoiceTable[Invoice Date],"&lt;"&amp;DATE(YEAR(B13),MONTH(B13)+1,1),InvoiceTable[Status],"paid"))</f>
        <v>5460</v>
      </c>
    </row>
    <row r="14" spans="1:11" x14ac:dyDescent="0.25">
      <c r="B14" s="84">
        <v>44440</v>
      </c>
      <c r="C14" s="17">
        <f>IF(B14&gt;$E$3,"",SUMIFS(InvoiceTable[Net Amount],InvoiceTable[Invoice Date],"&gt;="&amp;DATE(YEAR(B14),MONTH(B14),1),InvoiceTable[Invoice Date],"&lt;"&amp;DATE(YEAR(B14),MONTH(B14)+1,1),InvoiceTable[Status],"paid"))</f>
        <v>1375</v>
      </c>
    </row>
    <row r="15" spans="1:11" x14ac:dyDescent="0.25">
      <c r="B15" s="84">
        <v>44470</v>
      </c>
      <c r="C15" s="17">
        <f>IF(B15&gt;$E$3,"",SUMIFS(InvoiceTable[Net Amount],InvoiceTable[Invoice Date],"&gt;="&amp;DATE(YEAR(B15),MONTH(B15),1),InvoiceTable[Invoice Date],"&lt;"&amp;DATE(YEAR(B15),MONTH(B15)+1,1),InvoiceTable[Status],"paid"))</f>
        <v>4000</v>
      </c>
    </row>
    <row r="16" spans="1:11" x14ac:dyDescent="0.25">
      <c r="B16" s="84">
        <v>44501</v>
      </c>
      <c r="C16" s="17">
        <f>IF(B16&gt;$E$3,"",SUMIFS(InvoiceTable[Net Amount],InvoiceTable[Invoice Date],"&gt;="&amp;DATE(YEAR(B16),MONTH(B16),1),InvoiceTable[Invoice Date],"&lt;"&amp;DATE(YEAR(B16),MONTH(B16)+1,1),InvoiceTable[Status],"paid"))</f>
        <v>840</v>
      </c>
    </row>
    <row r="17" spans="2:3" x14ac:dyDescent="0.25">
      <c r="B17" s="84">
        <v>44531</v>
      </c>
      <c r="C17" s="17">
        <f>IF(B17&gt;$E$3,"",SUMIFS(InvoiceTable[Net Amount],InvoiceTable[Invoice Date],"&gt;="&amp;DATE(YEAR(B17),MONTH(B17),1),InvoiceTable[Invoice Date],"&lt;"&amp;DATE(YEAR(B17),MONTH(B17)+1,1),InvoiceTable[Status],"paid"))</f>
        <v>3600</v>
      </c>
    </row>
    <row r="18" spans="2:3" x14ac:dyDescent="0.25">
      <c r="B18" s="84">
        <v>44562</v>
      </c>
      <c r="C18" s="17">
        <f>IF(B18&gt;$E$3,"",SUMIFS(InvoiceTable[Net Amount],InvoiceTable[Invoice Date],"&gt;="&amp;DATE(YEAR(B18),MONTH(B18),1),InvoiceTable[Invoice Date],"&lt;"&amp;DATE(YEAR(B18),MONTH(B18)+1,1),InvoiceTable[Status],"paid"))</f>
        <v>12600</v>
      </c>
    </row>
    <row r="19" spans="2:3" x14ac:dyDescent="0.25">
      <c r="B19" s="84">
        <v>44593</v>
      </c>
      <c r="C19" s="17">
        <f>IF(B19&gt;$E$3,"",SUMIFS(InvoiceTable[Net Amount],InvoiceTable[Invoice Date],"&gt;="&amp;DATE(YEAR(B19),MONTH(B19),1),InvoiceTable[Invoice Date],"&lt;"&amp;DATE(YEAR(B19),MONTH(B19)+1,1),InvoiceTable[Status],"paid"))</f>
        <v>17630</v>
      </c>
    </row>
    <row r="20" spans="2:3" x14ac:dyDescent="0.25">
      <c r="B20" s="84">
        <v>44621</v>
      </c>
      <c r="C20" s="17">
        <f>IF(B20&gt;$E$3,"",SUMIFS(InvoiceTable[Net Amount],InvoiceTable[Invoice Date],"&gt;="&amp;DATE(YEAR(B20),MONTH(B20),1),InvoiceTable[Invoice Date],"&lt;"&amp;DATE(YEAR(B20),MONTH(B20)+1,1),InvoiceTable[Status],"paid"))</f>
        <v>8430</v>
      </c>
    </row>
    <row r="21" spans="2:3" x14ac:dyDescent="0.25">
      <c r="B21" s="84">
        <v>44652</v>
      </c>
      <c r="C21" s="17">
        <f>IF(B21&gt;$E$3,"",SUMIFS(InvoiceTable[Net Amount],InvoiceTable[Invoice Date],"&gt;="&amp;DATE(YEAR(B21),MONTH(B21),1),InvoiceTable[Invoice Date],"&lt;"&amp;DATE(YEAR(B21),MONTH(B21)+1,1),InvoiceTable[Status],"paid"))</f>
        <v>10362.5</v>
      </c>
    </row>
    <row r="22" spans="2:3" x14ac:dyDescent="0.25">
      <c r="B22" s="84">
        <v>44682</v>
      </c>
      <c r="C22" s="17">
        <f>IF(B22&gt;$E$3,"",SUMIFS(InvoiceTable[Net Amount],InvoiceTable[Invoice Date],"&gt;="&amp;DATE(YEAR(B22),MONTH(B22),1),InvoiceTable[Invoice Date],"&lt;"&amp;DATE(YEAR(B22),MONTH(B22)+1,1),InvoiceTable[Status],"paid"))</f>
        <v>6261</v>
      </c>
    </row>
    <row r="23" spans="2:3" x14ac:dyDescent="0.25">
      <c r="B23" s="84">
        <v>44713</v>
      </c>
      <c r="C23" s="17">
        <f>IF(B23&gt;$E$3,"",SUMIFS(InvoiceTable[Net Amount],InvoiceTable[Invoice Date],"&gt;="&amp;DATE(YEAR(B23),MONTH(B23),1),InvoiceTable[Invoice Date],"&lt;"&amp;DATE(YEAR(B23),MONTH(B23)+1,1),InvoiceTable[Status],"paid"))</f>
        <v>15480</v>
      </c>
    </row>
    <row r="24" spans="2:3" x14ac:dyDescent="0.25">
      <c r="B24" s="84">
        <v>44743</v>
      </c>
      <c r="C24" s="17">
        <f>IF(B24&gt;$E$3,"",SUMIFS(InvoiceTable[Net Amount],InvoiceTable[Invoice Date],"&gt;="&amp;DATE(YEAR(B24),MONTH(B24),1),InvoiceTable[Invoice Date],"&lt;"&amp;DATE(YEAR(B24),MONTH(B24)+1,1),InvoiceTable[Status],"paid"))</f>
        <v>0</v>
      </c>
    </row>
    <row r="25" spans="2:3" x14ac:dyDescent="0.25">
      <c r="B25" s="84">
        <v>44774</v>
      </c>
      <c r="C25" s="17">
        <f>IF(B25&gt;$E$3,"",SUMIFS(InvoiceTable[Net Amount],InvoiceTable[Invoice Date],"&gt;="&amp;DATE(YEAR(B25),MONTH(B25),1),InvoiceTable[Invoice Date],"&lt;"&amp;DATE(YEAR(B25),MONTH(B25)+1,1),InvoiceTable[Status],"paid"))</f>
        <v>7549</v>
      </c>
    </row>
    <row r="26" spans="2:3" x14ac:dyDescent="0.25">
      <c r="B26" s="84">
        <v>44805</v>
      </c>
      <c r="C26" s="17">
        <f>IF(B26&gt;$E$3,"",SUMIFS(InvoiceTable[Net Amount],InvoiceTable[Invoice Date],"&gt;="&amp;DATE(YEAR(B26),MONTH(B26),1),InvoiceTable[Invoice Date],"&lt;"&amp;DATE(YEAR(B26),MONTH(B26)+1,1),InvoiceTable[Status],"paid"))</f>
        <v>5948</v>
      </c>
    </row>
    <row r="27" spans="2:3" x14ac:dyDescent="0.25">
      <c r="B27" s="84">
        <v>44835</v>
      </c>
      <c r="C27" s="17">
        <f>IF(B27&gt;$E$3,"",SUMIFS(InvoiceTable[Net Amount],InvoiceTable[Invoice Date],"&gt;="&amp;DATE(YEAR(B27),MONTH(B27),1),InvoiceTable[Invoice Date],"&lt;"&amp;DATE(YEAR(B27),MONTH(B27)+1,1),InvoiceTable[Status],"paid"))</f>
        <v>1672</v>
      </c>
    </row>
    <row r="28" spans="2:3" x14ac:dyDescent="0.25">
      <c r="B28" s="84">
        <v>44866</v>
      </c>
      <c r="C28" s="17" t="str">
        <f>IF(B28&gt;$E$3,"",SUMIFS(InvoiceTable[Net Amount],InvoiceTable[Invoice Date],"&gt;="&amp;DATE(YEAR(B28),MONTH(B28),1),InvoiceTable[Invoice Date],"&lt;"&amp;DATE(YEAR(B28),MONTH(B28)+1,1),InvoiceTable[Status],"paid"))</f>
        <v/>
      </c>
    </row>
    <row r="29" spans="2:3" x14ac:dyDescent="0.25">
      <c r="B29" s="84">
        <v>44896</v>
      </c>
      <c r="C29" s="17" t="str">
        <f>IF(B29&gt;$E$3,"",SUMIFS(InvoiceTable[Net Amount],InvoiceTable[Invoice Date],"&gt;="&amp;DATE(YEAR(B29),MONTH(B29),1),InvoiceTable[Invoice Date],"&lt;"&amp;DATE(YEAR(B29),MONTH(B29)+1,1),InvoiceTable[Status],"paid"))</f>
        <v/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4DD57E-4227-4613-B474-D013763E847F}">
  <sheetPr codeName="Sheet1">
    <tabColor theme="2" tint="-0.249977111117893"/>
  </sheetPr>
  <dimension ref="A1:H25"/>
  <sheetViews>
    <sheetView showGridLines="0" workbookViewId="0">
      <selection activeCell="H3" sqref="H3"/>
    </sheetView>
  </sheetViews>
  <sheetFormatPr defaultRowHeight="13.8" x14ac:dyDescent="0.25"/>
  <cols>
    <col min="1" max="1" width="19.5" customWidth="1"/>
    <col min="2" max="2" width="14.69921875" customWidth="1"/>
    <col min="3" max="3" width="17.59765625" customWidth="1"/>
    <col min="4" max="4" width="26.3984375" customWidth="1"/>
    <col min="5" max="5" width="17.796875" customWidth="1"/>
    <col min="6" max="6" width="31.09765625" customWidth="1"/>
    <col min="7" max="7" width="20.19921875" customWidth="1"/>
    <col min="8" max="8" width="25.09765625" customWidth="1"/>
    <col min="9" max="9" width="6.796875" customWidth="1"/>
  </cols>
  <sheetData>
    <row r="1" spans="1:8" ht="26.4" customHeight="1" x14ac:dyDescent="0.25">
      <c r="A1" s="78" t="s">
        <v>312</v>
      </c>
      <c r="B1" s="78" t="s">
        <v>313</v>
      </c>
      <c r="C1" s="78" t="s">
        <v>364</v>
      </c>
      <c r="D1" s="79" t="s">
        <v>314</v>
      </c>
      <c r="E1" s="78" t="s">
        <v>315</v>
      </c>
      <c r="F1" s="79" t="s">
        <v>316</v>
      </c>
      <c r="G1" s="79" t="s">
        <v>317</v>
      </c>
      <c r="H1" s="78" t="s">
        <v>318</v>
      </c>
    </row>
    <row r="2" spans="1:8" ht="35.4" customHeight="1" x14ac:dyDescent="0.25">
      <c r="A2" s="80" t="s">
        <v>319</v>
      </c>
      <c r="B2" s="5" t="s">
        <v>320</v>
      </c>
      <c r="C2" s="5" t="s">
        <v>321</v>
      </c>
      <c r="D2" s="80" t="s">
        <v>327</v>
      </c>
      <c r="E2" s="5" t="s">
        <v>328</v>
      </c>
      <c r="F2" s="80" t="s">
        <v>329</v>
      </c>
      <c r="G2" s="5" t="s">
        <v>330</v>
      </c>
      <c r="H2" s="81" t="s">
        <v>371</v>
      </c>
    </row>
    <row r="3" spans="1:8" ht="51" customHeight="1" x14ac:dyDescent="0.25">
      <c r="A3" s="80" t="s">
        <v>319</v>
      </c>
      <c r="B3" s="5" t="s">
        <v>320</v>
      </c>
      <c r="C3" s="5" t="s">
        <v>321</v>
      </c>
      <c r="D3" s="80" t="s">
        <v>322</v>
      </c>
      <c r="E3" s="5" t="s">
        <v>323</v>
      </c>
      <c r="F3" s="80" t="s">
        <v>326</v>
      </c>
      <c r="G3" s="5" t="s">
        <v>325</v>
      </c>
      <c r="H3" s="81" t="s">
        <v>377</v>
      </c>
    </row>
    <row r="4" spans="1:8" ht="22.2" customHeight="1" x14ac:dyDescent="0.25">
      <c r="A4" s="80" t="s">
        <v>319</v>
      </c>
      <c r="B4" s="5" t="s">
        <v>320</v>
      </c>
      <c r="C4" s="5" t="s">
        <v>321</v>
      </c>
      <c r="D4" s="80" t="s">
        <v>322</v>
      </c>
      <c r="E4" s="5" t="s">
        <v>323</v>
      </c>
      <c r="F4" s="80" t="s">
        <v>375</v>
      </c>
      <c r="G4" s="5" t="s">
        <v>325</v>
      </c>
      <c r="H4" s="81" t="s">
        <v>376</v>
      </c>
    </row>
    <row r="5" spans="1:8" ht="20.399999999999999" customHeight="1" x14ac:dyDescent="0.25">
      <c r="A5" s="80" t="s">
        <v>319</v>
      </c>
      <c r="B5" s="5" t="s">
        <v>320</v>
      </c>
      <c r="C5" s="5" t="s">
        <v>321</v>
      </c>
      <c r="D5" s="80" t="s">
        <v>322</v>
      </c>
      <c r="E5" s="5" t="s">
        <v>323</v>
      </c>
      <c r="F5" s="80" t="s">
        <v>324</v>
      </c>
      <c r="G5" s="5" t="s">
        <v>325</v>
      </c>
      <c r="H5" s="81" t="s">
        <v>390</v>
      </c>
    </row>
    <row r="6" spans="1:8" ht="37.200000000000003" customHeight="1" x14ac:dyDescent="0.25">
      <c r="A6" s="80" t="s">
        <v>331</v>
      </c>
      <c r="B6" s="5" t="s">
        <v>320</v>
      </c>
      <c r="C6" s="5" t="s">
        <v>321</v>
      </c>
      <c r="D6" s="80" t="s">
        <v>327</v>
      </c>
      <c r="E6" s="5" t="s">
        <v>328</v>
      </c>
      <c r="F6" s="80" t="s">
        <v>335</v>
      </c>
      <c r="G6" s="5" t="s">
        <v>330</v>
      </c>
      <c r="H6" s="81" t="s">
        <v>372</v>
      </c>
    </row>
    <row r="7" spans="1:8" ht="52.2" customHeight="1" x14ac:dyDescent="0.25">
      <c r="A7" s="80" t="s">
        <v>331</v>
      </c>
      <c r="B7" s="5" t="s">
        <v>320</v>
      </c>
      <c r="C7" s="5" t="s">
        <v>321</v>
      </c>
      <c r="D7" s="80" t="s">
        <v>332</v>
      </c>
      <c r="E7" s="5" t="s">
        <v>323</v>
      </c>
      <c r="F7" s="80" t="s">
        <v>334</v>
      </c>
      <c r="G7" s="5" t="s">
        <v>325</v>
      </c>
      <c r="H7" s="81" t="s">
        <v>378</v>
      </c>
    </row>
    <row r="8" spans="1:8" ht="52.2" customHeight="1" x14ac:dyDescent="0.25">
      <c r="A8" s="80" t="s">
        <v>331</v>
      </c>
      <c r="B8" s="5" t="s">
        <v>320</v>
      </c>
      <c r="C8" s="5" t="s">
        <v>321</v>
      </c>
      <c r="D8" s="80" t="s">
        <v>332</v>
      </c>
      <c r="E8" s="5" t="s">
        <v>323</v>
      </c>
      <c r="F8" s="80" t="s">
        <v>333</v>
      </c>
      <c r="G8" s="5" t="s">
        <v>325</v>
      </c>
      <c r="H8" s="81" t="s">
        <v>382</v>
      </c>
    </row>
    <row r="9" spans="1:8" ht="18.600000000000001" customHeight="1" x14ac:dyDescent="0.25">
      <c r="A9" s="80" t="s">
        <v>331</v>
      </c>
      <c r="B9" s="5" t="s">
        <v>320</v>
      </c>
      <c r="C9" s="5" t="s">
        <v>321</v>
      </c>
      <c r="D9" s="80" t="s">
        <v>332</v>
      </c>
      <c r="E9" s="5" t="s">
        <v>323</v>
      </c>
      <c r="F9" s="80" t="s">
        <v>324</v>
      </c>
      <c r="G9" s="5" t="s">
        <v>325</v>
      </c>
      <c r="H9" s="81" t="s">
        <v>390</v>
      </c>
    </row>
    <row r="10" spans="1:8" ht="55.8" customHeight="1" x14ac:dyDescent="0.25">
      <c r="A10" s="80" t="s">
        <v>336</v>
      </c>
      <c r="B10" s="5" t="s">
        <v>337</v>
      </c>
      <c r="C10" s="5" t="s">
        <v>338</v>
      </c>
      <c r="D10" s="80" t="s">
        <v>342</v>
      </c>
      <c r="E10" s="5" t="s">
        <v>343</v>
      </c>
      <c r="F10" s="80" t="s">
        <v>344</v>
      </c>
      <c r="G10" s="5" t="s">
        <v>345</v>
      </c>
      <c r="H10" s="81" t="s">
        <v>373</v>
      </c>
    </row>
    <row r="11" spans="1:8" ht="40.799999999999997" customHeight="1" x14ac:dyDescent="0.25">
      <c r="A11" s="80" t="s">
        <v>336</v>
      </c>
      <c r="B11" s="5" t="s">
        <v>337</v>
      </c>
      <c r="C11" s="5" t="s">
        <v>338</v>
      </c>
      <c r="D11" s="80" t="s">
        <v>368</v>
      </c>
      <c r="E11" s="5" t="s">
        <v>323</v>
      </c>
      <c r="F11" s="80" t="s">
        <v>339</v>
      </c>
      <c r="G11" s="5" t="s">
        <v>325</v>
      </c>
      <c r="H11" s="81" t="s">
        <v>383</v>
      </c>
    </row>
    <row r="12" spans="1:8" ht="42" customHeight="1" x14ac:dyDescent="0.25">
      <c r="A12" s="80" t="s">
        <v>336</v>
      </c>
      <c r="B12" s="5" t="s">
        <v>337</v>
      </c>
      <c r="C12" s="5" t="s">
        <v>338</v>
      </c>
      <c r="D12" s="80" t="s">
        <v>368</v>
      </c>
      <c r="E12" s="5" t="s">
        <v>323</v>
      </c>
      <c r="F12" s="80" t="s">
        <v>340</v>
      </c>
      <c r="G12" s="5" t="s">
        <v>325</v>
      </c>
      <c r="H12" s="81" t="s">
        <v>384</v>
      </c>
    </row>
    <row r="13" spans="1:8" ht="33.6" customHeight="1" x14ac:dyDescent="0.25">
      <c r="A13" s="80" t="s">
        <v>336</v>
      </c>
      <c r="B13" s="5" t="s">
        <v>337</v>
      </c>
      <c r="C13" s="5" t="s">
        <v>338</v>
      </c>
      <c r="D13" s="80" t="s">
        <v>368</v>
      </c>
      <c r="E13" s="5" t="s">
        <v>323</v>
      </c>
      <c r="F13" s="80" t="s">
        <v>341</v>
      </c>
      <c r="G13" s="5" t="s">
        <v>325</v>
      </c>
      <c r="H13" s="81" t="s">
        <v>369</v>
      </c>
    </row>
    <row r="14" spans="1:8" ht="20.399999999999999" customHeight="1" x14ac:dyDescent="0.25">
      <c r="A14" s="80" t="s">
        <v>336</v>
      </c>
      <c r="B14" s="5" t="s">
        <v>337</v>
      </c>
      <c r="C14" s="5" t="s">
        <v>338</v>
      </c>
      <c r="D14" s="80" t="s">
        <v>368</v>
      </c>
      <c r="E14" s="5" t="s">
        <v>323</v>
      </c>
      <c r="F14" s="80" t="s">
        <v>375</v>
      </c>
      <c r="G14" s="5" t="s">
        <v>325</v>
      </c>
      <c r="H14" s="81" t="s">
        <v>385</v>
      </c>
    </row>
    <row r="15" spans="1:8" ht="21.6" customHeight="1" x14ac:dyDescent="0.25">
      <c r="A15" s="80" t="s">
        <v>336</v>
      </c>
      <c r="B15" s="5" t="s">
        <v>337</v>
      </c>
      <c r="C15" s="5" t="s">
        <v>338</v>
      </c>
      <c r="D15" s="80" t="s">
        <v>368</v>
      </c>
      <c r="E15" s="5" t="s">
        <v>323</v>
      </c>
      <c r="F15" s="80" t="s">
        <v>324</v>
      </c>
      <c r="G15" s="5" t="s">
        <v>325</v>
      </c>
      <c r="H15" s="81" t="s">
        <v>390</v>
      </c>
    </row>
    <row r="16" spans="1:8" ht="38.4" customHeight="1" x14ac:dyDescent="0.25">
      <c r="A16" s="80" t="s">
        <v>346</v>
      </c>
      <c r="B16" s="5" t="s">
        <v>320</v>
      </c>
      <c r="C16" s="5" t="s">
        <v>338</v>
      </c>
      <c r="D16" s="80" t="s">
        <v>327</v>
      </c>
      <c r="E16" s="5" t="s">
        <v>328</v>
      </c>
      <c r="F16" s="80" t="s">
        <v>352</v>
      </c>
      <c r="G16" s="5" t="s">
        <v>330</v>
      </c>
      <c r="H16" s="81" t="s">
        <v>370</v>
      </c>
    </row>
    <row r="17" spans="1:8" ht="64.2" customHeight="1" x14ac:dyDescent="0.25">
      <c r="A17" s="80" t="s">
        <v>346</v>
      </c>
      <c r="B17" s="5" t="s">
        <v>320</v>
      </c>
      <c r="C17" s="5" t="s">
        <v>338</v>
      </c>
      <c r="D17" s="80" t="s">
        <v>347</v>
      </c>
      <c r="E17" s="5" t="s">
        <v>323</v>
      </c>
      <c r="F17" s="80" t="s">
        <v>348</v>
      </c>
      <c r="G17" s="5" t="s">
        <v>325</v>
      </c>
      <c r="H17" s="81" t="s">
        <v>389</v>
      </c>
    </row>
    <row r="18" spans="1:8" ht="39" customHeight="1" x14ac:dyDescent="0.25">
      <c r="A18" s="80" t="s">
        <v>346</v>
      </c>
      <c r="B18" s="5" t="s">
        <v>320</v>
      </c>
      <c r="C18" s="5" t="s">
        <v>338</v>
      </c>
      <c r="D18" s="80" t="s">
        <v>347</v>
      </c>
      <c r="E18" s="5" t="s">
        <v>323</v>
      </c>
      <c r="F18" s="80" t="s">
        <v>349</v>
      </c>
      <c r="G18" s="5" t="s">
        <v>325</v>
      </c>
      <c r="H18" s="81" t="s">
        <v>391</v>
      </c>
    </row>
    <row r="19" spans="1:8" ht="22.8" customHeight="1" x14ac:dyDescent="0.25">
      <c r="A19" s="80" t="s">
        <v>346</v>
      </c>
      <c r="B19" s="5" t="s">
        <v>320</v>
      </c>
      <c r="C19" s="5" t="s">
        <v>338</v>
      </c>
      <c r="D19" s="80" t="s">
        <v>347</v>
      </c>
      <c r="E19" s="5" t="s">
        <v>323</v>
      </c>
      <c r="F19" s="80" t="s">
        <v>324</v>
      </c>
      <c r="G19" s="5" t="s">
        <v>325</v>
      </c>
      <c r="H19" s="81" t="s">
        <v>390</v>
      </c>
    </row>
    <row r="20" spans="1:8" ht="39.6" customHeight="1" x14ac:dyDescent="0.25">
      <c r="A20" s="80" t="s">
        <v>346</v>
      </c>
      <c r="B20" s="5" t="s">
        <v>320</v>
      </c>
      <c r="C20" s="5" t="s">
        <v>338</v>
      </c>
      <c r="D20" s="80" t="s">
        <v>347</v>
      </c>
      <c r="E20" s="5" t="s">
        <v>323</v>
      </c>
      <c r="F20" s="80" t="s">
        <v>351</v>
      </c>
      <c r="G20" s="5" t="s">
        <v>325</v>
      </c>
      <c r="H20" s="81" t="s">
        <v>392</v>
      </c>
    </row>
    <row r="21" spans="1:8" ht="21.6" customHeight="1" x14ac:dyDescent="0.25">
      <c r="A21" s="80" t="s">
        <v>346</v>
      </c>
      <c r="B21" s="5" t="s">
        <v>320</v>
      </c>
      <c r="C21" s="5" t="s">
        <v>338</v>
      </c>
      <c r="D21" s="80" t="s">
        <v>347</v>
      </c>
      <c r="E21" s="5" t="s">
        <v>323</v>
      </c>
      <c r="F21" s="80" t="s">
        <v>350</v>
      </c>
      <c r="G21" s="5" t="s">
        <v>325</v>
      </c>
      <c r="H21" s="81" t="s">
        <v>390</v>
      </c>
    </row>
    <row r="22" spans="1:8" ht="39" customHeight="1" x14ac:dyDescent="0.25">
      <c r="A22" s="80" t="s">
        <v>358</v>
      </c>
      <c r="B22" s="5" t="s">
        <v>359</v>
      </c>
      <c r="C22" s="5" t="s">
        <v>338</v>
      </c>
      <c r="D22" s="80" t="s">
        <v>342</v>
      </c>
      <c r="E22" s="5" t="s">
        <v>343</v>
      </c>
      <c r="F22" s="80" t="s">
        <v>360</v>
      </c>
      <c r="G22" s="5" t="s">
        <v>361</v>
      </c>
      <c r="H22" s="81" t="s">
        <v>367</v>
      </c>
    </row>
    <row r="23" spans="1:8" ht="37.799999999999997" customHeight="1" x14ac:dyDescent="0.25">
      <c r="A23" s="80" t="s">
        <v>362</v>
      </c>
      <c r="B23" s="5" t="s">
        <v>359</v>
      </c>
      <c r="C23" s="5" t="s">
        <v>338</v>
      </c>
      <c r="D23" s="80" t="s">
        <v>342</v>
      </c>
      <c r="E23" s="5" t="s">
        <v>343</v>
      </c>
      <c r="F23" s="80" t="s">
        <v>363</v>
      </c>
      <c r="G23" s="5" t="s">
        <v>361</v>
      </c>
      <c r="H23" s="81" t="s">
        <v>374</v>
      </c>
    </row>
    <row r="24" spans="1:8" ht="36" customHeight="1" x14ac:dyDescent="0.25">
      <c r="A24" s="80" t="s">
        <v>353</v>
      </c>
      <c r="B24" s="5" t="s">
        <v>320</v>
      </c>
      <c r="C24" s="5" t="s">
        <v>321</v>
      </c>
      <c r="D24" s="80" t="s">
        <v>327</v>
      </c>
      <c r="E24" s="5" t="s">
        <v>328</v>
      </c>
      <c r="F24" s="80" t="s">
        <v>354</v>
      </c>
      <c r="G24" s="5" t="s">
        <v>330</v>
      </c>
      <c r="H24" s="81" t="s">
        <v>366</v>
      </c>
    </row>
    <row r="25" spans="1:8" ht="22.2" customHeight="1" x14ac:dyDescent="0.25">
      <c r="A25" s="80" t="s">
        <v>355</v>
      </c>
      <c r="B25" s="5" t="s">
        <v>356</v>
      </c>
      <c r="C25" s="5" t="s">
        <v>338</v>
      </c>
      <c r="D25" s="80" t="s">
        <v>327</v>
      </c>
      <c r="E25" s="5" t="s">
        <v>328</v>
      </c>
      <c r="F25" s="80" t="s">
        <v>357</v>
      </c>
      <c r="G25" s="5" t="s">
        <v>330</v>
      </c>
      <c r="H25" s="81" t="s">
        <v>365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46039B5-E5B8-4E5A-A1DF-B7EE8D6BB0C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Instructions</vt:lpstr>
      <vt:lpstr>Dashboard</vt:lpstr>
      <vt:lpstr>Invoice</vt:lpstr>
      <vt:lpstr>Masterdata</vt:lpstr>
      <vt:lpstr>Template</vt:lpstr>
      <vt:lpstr>Calculation</vt:lpstr>
      <vt:lpstr>VBA Code Glossary</vt:lpstr>
      <vt:lpstr>Excelfolder</vt:lpstr>
      <vt:lpstr>PDFfolder</vt:lpstr>
      <vt:lpstr>Template!Print_Area</vt:lpstr>
      <vt:lpstr>TODAY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Invoice template for Excel VBA course on Udemy.com. Find out more on www.xelplus.com\courses</dc:description>
  <cp:lastModifiedBy>Chuchu Xiong</cp:lastModifiedBy>
  <cp:lastPrinted>2017-12-21T12:43:58Z</cp:lastPrinted>
  <dcterms:created xsi:type="dcterms:W3CDTF">2017-10-05T08:02:23Z</dcterms:created>
  <dcterms:modified xsi:type="dcterms:W3CDTF">2023-05-30T04:35:45Z</dcterms:modified>
</cp:coreProperties>
</file>